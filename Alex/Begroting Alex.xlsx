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D:\Github\Projects\AquaStorm\resources\Alex\"/>
    </mc:Choice>
  </mc:AlternateContent>
  <xr:revisionPtr revIDLastSave="0" documentId="13_ncr:1_{2250BCD7-24B3-4A3F-8581-ABE28B5659A7}" xr6:coauthVersionLast="47" xr6:coauthVersionMax="47" xr10:uidLastSave="{00000000-0000-0000-0000-000000000000}"/>
  <bookViews>
    <workbookView xWindow="-120" yWindow="-120" windowWidth="25440" windowHeight="15270" xr2:uid="{00000000-000D-0000-FFFF-FFFF00000000}"/>
  </bookViews>
  <sheets>
    <sheet name="Sheet1" sheetId="1" r:id="rId1"/>
  </sheets>
  <definedNames>
    <definedName name="_xlnm._FilterDatabase" localSheetId="0" hidden="1">Sheet1!$A$1:$L$4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J11" i="1"/>
  <c r="J10" i="1"/>
  <c r="J4" i="1"/>
  <c r="J5" i="1"/>
  <c r="J6" i="1"/>
  <c r="J7" i="1"/>
  <c r="J8" i="1"/>
  <c r="J9" i="1"/>
  <c r="J3" i="1"/>
  <c r="O4" i="1" l="1"/>
</calcChain>
</file>

<file path=xl/sharedStrings.xml><?xml version="1.0" encoding="utf-8"?>
<sst xmlns="http://schemas.openxmlformats.org/spreadsheetml/2006/main" count="75" uniqueCount="60">
  <si>
    <t>Product</t>
  </si>
  <si>
    <t>Afbeelding</t>
  </si>
  <si>
    <t>Winkel</t>
  </si>
  <si>
    <t>Link</t>
  </si>
  <si>
    <t>Aantal</t>
  </si>
  <si>
    <t>Prijs per stuk excl. Btw.</t>
  </si>
  <si>
    <t>Verzendkosten</t>
  </si>
  <si>
    <t>Totaal bedrag (btw + verzend kosten)</t>
  </si>
  <si>
    <t>Status</t>
  </si>
  <si>
    <t>Overzicht</t>
  </si>
  <si>
    <t>Kan worden besteld</t>
  </si>
  <si>
    <t>Bedrag Excl onvoorziene kosten</t>
  </si>
  <si>
    <t>Onvoorziene kosten</t>
  </si>
  <si>
    <t>Totaal bedrag</t>
  </si>
  <si>
    <t>Linux SBC</t>
  </si>
  <si>
    <t>Soorten</t>
  </si>
  <si>
    <t>Verkrijg status</t>
  </si>
  <si>
    <t>Nano Pi</t>
  </si>
  <si>
    <t>Nano Pi RS4</t>
  </si>
  <si>
    <t>Gemakkelijk</t>
  </si>
  <si>
    <t>AliExpress</t>
  </si>
  <si>
    <t>Voor het draaien van een containers in docker om software modulair te kunnen inrichten</t>
  </si>
  <si>
    <t>Khadas VIM3</t>
  </si>
  <si>
    <t>Digi-Key</t>
  </si>
  <si>
    <t>Zeer gemakkelijk</t>
  </si>
  <si>
    <t>KVIM3-P-002</t>
  </si>
  <si>
    <t>Jetson Nano</t>
  </si>
  <si>
    <t>Jetson Nano Dev</t>
  </si>
  <si>
    <t>Onbekend (Geschatte leverdatum 04-03-2022 - 07-03-2022.)</t>
  </si>
  <si>
    <t>SOS Solutions</t>
  </si>
  <si>
    <t>Raspberry Pi CM4 4GB</t>
  </si>
  <si>
    <t>Niet verkrijgbaar</t>
  </si>
  <si>
    <t>?</t>
  </si>
  <si>
    <t>RJ45 Connectoren</t>
  </si>
  <si>
    <t>RJ45 100ST</t>
  </si>
  <si>
    <t>RJ45 Connector</t>
  </si>
  <si>
    <t>Micro SD kaart</t>
  </si>
  <si>
    <t>64GB Extreme</t>
  </si>
  <si>
    <t>MicroSD Kaart</t>
  </si>
  <si>
    <t>reichelt</t>
  </si>
  <si>
    <t>Coolblue</t>
  </si>
  <si>
    <t>CAT6 S-FTP Kabel</t>
  </si>
  <si>
    <t>25M</t>
  </si>
  <si>
    <t>Allekabels</t>
  </si>
  <si>
    <t>CAT6- kabel</t>
  </si>
  <si>
    <t>Keuze</t>
  </si>
  <si>
    <t>Netwerk Switch</t>
  </si>
  <si>
    <t>8-16 port switch</t>
  </si>
  <si>
    <t>Alternate</t>
  </si>
  <si>
    <t>Switch</t>
  </si>
  <si>
    <t>Beste keuze</t>
  </si>
  <si>
    <t>De Nano Pi R4S Heeft als voordeel dat dit een relatief goedkope computer is voor de rekenkracht wat je ervoor krijgt. Een nadeel is dat er qua OS images en documentatie geen goed naslagwerk beschikbaar is.</t>
  </si>
  <si>
    <t>De Khadas VIM3 is een goede optie. Dit board heeft al voordeel dat deze uitbreidbaar is via PCI-e 1x. Dit geeft de mogelijkheid om de Google Coral Excelarator hierop aan te kunnen sluiten. De documentatie die er beschikbaar is ziet er op het eerste ook beter uit.</t>
  </si>
  <si>
    <t>De Jetson Nano van Nvidea, is uitrematen geschikt voor de ai en de platform doeleisen. Deze heeft ook de mogelijkheid om uitgebreid te kunnen worden doormiddel van een PCIe interface voor ai doeleindes</t>
  </si>
  <si>
    <t>De Raspberry Pi Compute Module 4 is ook uitermaten geschikt voor de doeleindes. Echter is er een tekort aan deze boardjes en is dit geen goede optie.</t>
  </si>
  <si>
    <t>Beschrijving en keuze beargumentering</t>
  </si>
  <si>
    <t>3D printer fillament</t>
  </si>
  <si>
    <t>Amazon</t>
  </si>
  <si>
    <t>Amazon | 3D printer fillament</t>
  </si>
  <si>
    <t>Dit is nodig voor het produceren van de behuizing. Deze is waarschijnlijk al beschikbaar in de werkplaats. Hij staat er bij voor de zekerheid.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</si>
</sst>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b/>
      <sz val="20"/>
      <color theme="0"/>
      <name val="Calibri"/>
      <family val="2"/>
      <scheme val="minor"/>
    </font>
    <font>
      <b/>
      <sz val="14"/>
      <color theme="0"/>
      <name val="Calibri"/>
      <family val="2"/>
      <scheme val="minor"/>
    </font>
    <font>
      <sz val="14"/>
      <color theme="0"/>
      <name val="Calibri"/>
      <family val="2"/>
      <scheme val="minor"/>
    </font>
  </fonts>
  <fills count="5">
    <fill>
      <patternFill patternType="none"/>
    </fill>
    <fill>
      <patternFill patternType="gray125"/>
    </fill>
    <fill>
      <patternFill patternType="solid">
        <fgColor theme="4"/>
      </patternFill>
    </fill>
    <fill>
      <patternFill patternType="solid">
        <fgColor theme="4"/>
        <bgColor indexed="64"/>
      </patternFill>
    </fill>
    <fill>
      <patternFill patternType="solid">
        <fgColor theme="0"/>
        <bgColor indexed="64"/>
      </patternFill>
    </fill>
  </fills>
  <borders count="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2" fillId="2" borderId="0" applyNumberFormat="0" applyBorder="0" applyAlignment="0" applyProtection="0"/>
    <xf numFmtId="0" fontId="3" fillId="0" borderId="0" applyNumberFormat="0" applyFill="0" applyBorder="0" applyAlignment="0" applyProtection="0"/>
  </cellStyleXfs>
  <cellXfs count="16">
    <xf numFmtId="0" fontId="0" fillId="0" borderId="0" xfId="0"/>
    <xf numFmtId="164" fontId="0" fillId="0" borderId="0" xfId="0" applyNumberFormat="1"/>
    <xf numFmtId="0" fontId="4" fillId="2" borderId="1" xfId="1" applyFont="1" applyBorder="1"/>
    <xf numFmtId="0" fontId="2" fillId="2" borderId="2" xfId="1" applyBorder="1"/>
    <xf numFmtId="0" fontId="3" fillId="0" borderId="0" xfId="2"/>
    <xf numFmtId="0" fontId="1" fillId="2" borderId="3" xfId="1" applyFont="1" applyBorder="1"/>
    <xf numFmtId="164" fontId="2" fillId="2" borderId="4" xfId="1" applyNumberFormat="1" applyBorder="1"/>
    <xf numFmtId="10" fontId="2" fillId="2" borderId="3" xfId="1" applyNumberFormat="1" applyBorder="1"/>
    <xf numFmtId="0" fontId="5" fillId="2" borderId="3" xfId="1" applyFont="1" applyBorder="1"/>
    <xf numFmtId="164" fontId="6" fillId="2" borderId="3" xfId="1" applyNumberFormat="1" applyFont="1" applyBorder="1"/>
    <xf numFmtId="0" fontId="2" fillId="3" borderId="0" xfId="0" applyFont="1" applyFill="1"/>
    <xf numFmtId="164" fontId="2" fillId="3" borderId="0" xfId="0" applyNumberFormat="1" applyFont="1" applyFill="1"/>
    <xf numFmtId="49" fontId="2" fillId="3" borderId="0" xfId="0" applyNumberFormat="1" applyFont="1" applyFill="1"/>
    <xf numFmtId="49" fontId="0" fillId="4" borderId="0" xfId="0" applyNumberFormat="1" applyFill="1"/>
    <xf numFmtId="0" fontId="2" fillId="3" borderId="0" xfId="0" applyFont="1" applyFill="1" applyAlignment="1">
      <alignment wrapText="1"/>
    </xf>
    <xf numFmtId="0" fontId="0" fillId="0" borderId="0" xfId="0" applyAlignment="1">
      <alignment wrapText="1"/>
    </xf>
  </cellXfs>
  <cellStyles count="3">
    <cellStyle name="Accent1" xfId="1" builtinId="29"/>
    <cellStyle name="Hyperlink" xfId="2" builtinId="8"/>
    <cellStyle name="Standaard" xfId="0" builtinId="0"/>
  </cellStyles>
  <dxfs count="5">
    <dxf>
      <fill>
        <patternFill>
          <bgColor rgb="FF92D050"/>
        </patternFill>
      </fill>
    </dxf>
    <dxf>
      <fill>
        <patternFill>
          <bgColor theme="7" tint="0.39994506668294322"/>
        </patternFill>
      </fill>
    </dxf>
    <dxf>
      <fill>
        <patternFill>
          <bgColor theme="6"/>
        </patternFill>
      </fill>
    </dxf>
    <dxf>
      <fill>
        <patternFill>
          <bgColor theme="6"/>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95250</xdr:colOff>
      <xdr:row>2</xdr:row>
      <xdr:rowOff>9525</xdr:rowOff>
    </xdr:from>
    <xdr:to>
      <xdr:col>3</xdr:col>
      <xdr:colOff>1553153</xdr:colOff>
      <xdr:row>2</xdr:row>
      <xdr:rowOff>571500</xdr:rowOff>
    </xdr:to>
    <xdr:pic>
      <xdr:nvPicPr>
        <xdr:cNvPr id="3" name="Afbeelding 2" descr="Amazon.com: FriendlyElec Nanopi R4S Mini Router OpenWRT with Dual-Gbps  Ethernet Ports 4GB LPDDR4 Based in RK3399 Soc for IOT NAS Smart Home  Gateway : Electronics">
          <a:extLst>
            <a:ext uri="{FF2B5EF4-FFF2-40B4-BE49-F238E27FC236}">
              <a16:creationId xmlns:a16="http://schemas.microsoft.com/office/drawing/2014/main" id="{B27E2706-7973-4E64-AA83-C4960008C6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86893" y="540204"/>
          <a:ext cx="1457903"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57150</xdr:colOff>
      <xdr:row>3</xdr:row>
      <xdr:rowOff>28575</xdr:rowOff>
    </xdr:from>
    <xdr:to>
      <xdr:col>3</xdr:col>
      <xdr:colOff>1562100</xdr:colOff>
      <xdr:row>3</xdr:row>
      <xdr:rowOff>876301</xdr:rowOff>
    </xdr:to>
    <xdr:pic>
      <xdr:nvPicPr>
        <xdr:cNvPr id="4" name="Afbeelding 3" descr="KVIM3-x-002">
          <a:extLst>
            <a:ext uri="{FF2B5EF4-FFF2-40B4-BE49-F238E27FC236}">
              <a16:creationId xmlns:a16="http://schemas.microsoft.com/office/drawing/2014/main" id="{E5049EFA-167B-4398-8F93-BBB0F4E128F4}"/>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7682" b="20732"/>
        <a:stretch/>
      </xdr:blipFill>
      <xdr:spPr bwMode="auto">
        <a:xfrm>
          <a:off x="4029075" y="1162050"/>
          <a:ext cx="1504950" cy="847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76200</xdr:colOff>
      <xdr:row>4</xdr:row>
      <xdr:rowOff>66675</xdr:rowOff>
    </xdr:from>
    <xdr:to>
      <xdr:col>3</xdr:col>
      <xdr:colOff>1510863</xdr:colOff>
      <xdr:row>4</xdr:row>
      <xdr:rowOff>923925</xdr:rowOff>
    </xdr:to>
    <xdr:pic>
      <xdr:nvPicPr>
        <xdr:cNvPr id="6" name="Afbeelding 5">
          <a:extLst>
            <a:ext uri="{FF2B5EF4-FFF2-40B4-BE49-F238E27FC236}">
              <a16:creationId xmlns:a16="http://schemas.microsoft.com/office/drawing/2014/main" id="{1F8A9745-3594-4924-B314-AFFDE56784B1}"/>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4937" b="22169"/>
        <a:stretch/>
      </xdr:blipFill>
      <xdr:spPr bwMode="auto">
        <a:xfrm>
          <a:off x="3984734" y="2149037"/>
          <a:ext cx="1434663" cy="857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257175</xdr:colOff>
      <xdr:row>5</xdr:row>
      <xdr:rowOff>38099</xdr:rowOff>
    </xdr:from>
    <xdr:to>
      <xdr:col>3</xdr:col>
      <xdr:colOff>1276351</xdr:colOff>
      <xdr:row>5</xdr:row>
      <xdr:rowOff>657224</xdr:rowOff>
    </xdr:to>
    <xdr:pic>
      <xdr:nvPicPr>
        <xdr:cNvPr id="7" name="Afbeelding 6">
          <a:extLst>
            <a:ext uri="{FF2B5EF4-FFF2-40B4-BE49-F238E27FC236}">
              <a16:creationId xmlns:a16="http://schemas.microsoft.com/office/drawing/2014/main" id="{E31167CF-5608-486E-8548-CC4B6366B21A}"/>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463" t="14149" r="18293" b="15106"/>
        <a:stretch/>
      </xdr:blipFill>
      <xdr:spPr bwMode="auto">
        <a:xfrm>
          <a:off x="4162425" y="3067049"/>
          <a:ext cx="1019176"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66675</xdr:colOff>
      <xdr:row>6</xdr:row>
      <xdr:rowOff>28575</xdr:rowOff>
    </xdr:from>
    <xdr:to>
      <xdr:col>3</xdr:col>
      <xdr:colOff>1514475</xdr:colOff>
      <xdr:row>6</xdr:row>
      <xdr:rowOff>1152525</xdr:rowOff>
    </xdr:to>
    <xdr:pic>
      <xdr:nvPicPr>
        <xdr:cNvPr id="8" name="Afbeelding 7" descr="Modulaire stekker CAT5e Afgeschermde, 100 stuks LOGILINK MP0003">
          <a:extLst>
            <a:ext uri="{FF2B5EF4-FFF2-40B4-BE49-F238E27FC236}">
              <a16:creationId xmlns:a16="http://schemas.microsoft.com/office/drawing/2014/main" id="{1414AF6A-F64B-4B02-9DFD-18E074E0C8D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971925" y="3733800"/>
          <a:ext cx="1447800"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136070</xdr:colOff>
      <xdr:row>8</xdr:row>
      <xdr:rowOff>65071</xdr:rowOff>
    </xdr:from>
    <xdr:to>
      <xdr:col>3</xdr:col>
      <xdr:colOff>1442357</xdr:colOff>
      <xdr:row>8</xdr:row>
      <xdr:rowOff>1049449</xdr:rowOff>
    </xdr:to>
    <xdr:pic>
      <xdr:nvPicPr>
        <xdr:cNvPr id="9" name="Afbeelding 8" descr="SanDisk MicroSDXC Extreme 64GB 160MB/s + SD Adapter Main Image">
          <a:extLst>
            <a:ext uri="{FF2B5EF4-FFF2-40B4-BE49-F238E27FC236}">
              <a16:creationId xmlns:a16="http://schemas.microsoft.com/office/drawing/2014/main" id="{1D7E6EA8-D710-4FE2-B1EE-F72AD522CC0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027713" y="6093035"/>
          <a:ext cx="1306287" cy="984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312964</xdr:colOff>
      <xdr:row>7</xdr:row>
      <xdr:rowOff>27215</xdr:rowOff>
    </xdr:from>
    <xdr:to>
      <xdr:col>3</xdr:col>
      <xdr:colOff>1306286</xdr:colOff>
      <xdr:row>7</xdr:row>
      <xdr:rowOff>1020537</xdr:rowOff>
    </xdr:to>
    <xdr:pic>
      <xdr:nvPicPr>
        <xdr:cNvPr id="10" name="Afbeelding 9">
          <a:extLst>
            <a:ext uri="{FF2B5EF4-FFF2-40B4-BE49-F238E27FC236}">
              <a16:creationId xmlns:a16="http://schemas.microsoft.com/office/drawing/2014/main" id="{DA4659A3-533B-45BB-B5FB-56B591377AB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204607" y="4939394"/>
          <a:ext cx="993322" cy="9933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68036</xdr:colOff>
      <xdr:row>9</xdr:row>
      <xdr:rowOff>13607</xdr:rowOff>
    </xdr:from>
    <xdr:to>
      <xdr:col>3</xdr:col>
      <xdr:colOff>1537607</xdr:colOff>
      <xdr:row>9</xdr:row>
      <xdr:rowOff>925285</xdr:rowOff>
    </xdr:to>
    <xdr:pic>
      <xdr:nvPicPr>
        <xdr:cNvPr id="12" name="Afbeelding 11" descr="TP-Link TL-SF1008D switch Retail">
          <a:extLst>
            <a:ext uri="{FF2B5EF4-FFF2-40B4-BE49-F238E27FC236}">
              <a16:creationId xmlns:a16="http://schemas.microsoft.com/office/drawing/2014/main" id="{FD0BFAD8-1BA8-415E-ADE4-9DE337BAA651}"/>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13909" b="23966"/>
        <a:stretch/>
      </xdr:blipFill>
      <xdr:spPr bwMode="auto">
        <a:xfrm>
          <a:off x="3959679" y="7116536"/>
          <a:ext cx="1469571" cy="9116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199279</xdr:colOff>
      <xdr:row>10</xdr:row>
      <xdr:rowOff>72119</xdr:rowOff>
    </xdr:from>
    <xdr:to>
      <xdr:col>3</xdr:col>
      <xdr:colOff>1395651</xdr:colOff>
      <xdr:row>10</xdr:row>
      <xdr:rowOff>1020536</xdr:rowOff>
    </xdr:to>
    <xdr:pic>
      <xdr:nvPicPr>
        <xdr:cNvPr id="11" name="Afbeelding 10">
          <a:extLst>
            <a:ext uri="{FF2B5EF4-FFF2-40B4-BE49-F238E27FC236}">
              <a16:creationId xmlns:a16="http://schemas.microsoft.com/office/drawing/2014/main" id="{DA631B5C-83EB-405C-83F3-B12AA2E2AFB0}"/>
            </a:ext>
          </a:extLst>
        </xdr:cNvPr>
        <xdr:cNvPicPr>
          <a:picLocks noChangeAspect="1"/>
        </xdr:cNvPicPr>
      </xdr:nvPicPr>
      <xdr:blipFill>
        <a:blip xmlns:r="http://schemas.openxmlformats.org/officeDocument/2006/relationships" r:embed="rId9"/>
        <a:stretch>
          <a:fillRect/>
        </a:stretch>
      </xdr:blipFill>
      <xdr:spPr>
        <a:xfrm rot="16200000">
          <a:off x="4214899" y="8071606"/>
          <a:ext cx="948417" cy="11963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nl/Filament-TINMORRY-Printing-Materials-Printer/dp/B083Y5G2GJ/ref=sr_1_3_sspa?keywords=1kg+filament&amp;qid=1645617663&amp;sprefix=1kg+fil%2Caps%2C117&amp;sr=8-3-spons&amp;psc=1&amp;spLa=ZW5jcnlwdGVkUXVhbGlmaWVyPUExRjJDTjFBOTFUOTcwJmVuY3J5cHRlZElkPUEwMTA0Mjk0MU45R09RWjY3TElZOSZlbmNyeXB0ZWRBZElkPUEwMDMxOTEyNlJPSFk4MkpSVjcwJndpZGdldE5hbWU9c3BfYXRmJmFjdGlvbj1jbGlja1JlZGlyZWN0JmRvTm90TG9nQ2xpY2s9dHJ1ZQ==" TargetMode="External"/><Relationship Id="rId3" Type="http://schemas.openxmlformats.org/officeDocument/2006/relationships/hyperlink" Target="https://www.sossolutions.nl/nvidia-jetson-nano-developer-kit?gclid=Cj0KCQiA09eQBhCxARIsAAYRiynxF05wP6Og4QVfScZ0CnRznrViw5fBONpkyV2e7g6cXakFHK_0qi0aAgOHEALw_wcB" TargetMode="External"/><Relationship Id="rId7" Type="http://schemas.openxmlformats.org/officeDocument/2006/relationships/hyperlink" Target="https://www.alternate.nl/TP-Link/TL-SF1008D-switch/html/product/49400" TargetMode="External"/><Relationship Id="rId2" Type="http://schemas.openxmlformats.org/officeDocument/2006/relationships/hyperlink" Target="https://www.digikey.nl/en/products/detail/khadas/KVIM3-P-002/10482958" TargetMode="External"/><Relationship Id="rId1" Type="http://schemas.openxmlformats.org/officeDocument/2006/relationships/hyperlink" Target="https://nl.aliexpress.com/item/1005001831487845.html?spm=a2g0o.productlist.0.0.7f90299brTiFfi&amp;algo_pvid=b692aabb-68a0-4093-b12f-454eb22e299a&amp;algo_exp_id=b692aabb-68a0-4093-b12f-454eb22e299a-8&amp;pdp_ext_f=%7B%22sku_id%22%3A%2212000017787129925%22%7D&amp;pdp_pi=-1%3B125.42%3B-1%3B-1%40salePrice%3BEUR%3Bsearch-mainSearch" TargetMode="External"/><Relationship Id="rId6" Type="http://schemas.openxmlformats.org/officeDocument/2006/relationships/hyperlink" Target="https://www.allekabels.nl/netwerk/netwerk_kabel_per_meter/s-ftp-cat6-flexibele-kern.html" TargetMode="External"/><Relationship Id="rId5" Type="http://schemas.openxmlformats.org/officeDocument/2006/relationships/hyperlink" Target="https://www.coolblue.nl/product/821224/sandisk-microsdxc-extreme-64gb-160mb-s-sd-adapter.html" TargetMode="External"/><Relationship Id="rId4" Type="http://schemas.openxmlformats.org/officeDocument/2006/relationships/hyperlink" Target="https://www.reichelt.nl/nl/nl/modulaire-stekker-cat5e-afgeschermde-100-stuks-logilink-mp0003-p121561.html?PROVID=2809&amp;gclid=Cj0KCQiA09eQBhCxARIsAAYRiyk0LAasRq2jmw8kDlB2Vtoy_PT1drj_liMioU5IYK_0NwNuMz2YY2UaAjSZEALw_wcB"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
  <sheetViews>
    <sheetView tabSelected="1" zoomScale="55" zoomScaleNormal="55" workbookViewId="0">
      <selection activeCell="Q6" sqref="Q6"/>
    </sheetView>
  </sheetViews>
  <sheetFormatPr defaultRowHeight="15" x14ac:dyDescent="0.25"/>
  <cols>
    <col min="1" max="1" width="19.85546875" customWidth="1"/>
    <col min="2" max="2" width="19.85546875" style="15" customWidth="1"/>
    <col min="3" max="3" width="18.85546875" customWidth="1"/>
    <col min="4" max="4" width="23.7109375" customWidth="1"/>
    <col min="5" max="5" width="14.85546875" customWidth="1"/>
    <col min="6" max="6" width="17.140625" customWidth="1"/>
    <col min="8" max="8" width="12.5703125" customWidth="1"/>
    <col min="10" max="10" width="36.85546875" bestFit="1" customWidth="1"/>
    <col min="11" max="11" width="95.5703125" style="15" customWidth="1"/>
    <col min="12" max="12" width="20.140625" bestFit="1" customWidth="1"/>
    <col min="14" max="14" width="38.85546875" bestFit="1" customWidth="1"/>
    <col min="15" max="15" width="13.5703125" bestFit="1" customWidth="1"/>
  </cols>
  <sheetData>
    <row r="1" spans="1:15" ht="26.25" x14ac:dyDescent="0.4">
      <c r="A1" s="10" t="s">
        <v>0</v>
      </c>
      <c r="B1" s="14" t="s">
        <v>15</v>
      </c>
      <c r="C1" s="10" t="s">
        <v>16</v>
      </c>
      <c r="D1" s="10" t="s">
        <v>1</v>
      </c>
      <c r="E1" s="10" t="s">
        <v>2</v>
      </c>
      <c r="F1" s="10" t="s">
        <v>3</v>
      </c>
      <c r="G1" s="10" t="s">
        <v>4</v>
      </c>
      <c r="H1" s="11" t="s">
        <v>5</v>
      </c>
      <c r="I1" s="11" t="s">
        <v>6</v>
      </c>
      <c r="J1" s="10" t="s">
        <v>7</v>
      </c>
      <c r="K1" s="14" t="s">
        <v>55</v>
      </c>
      <c r="L1" s="12" t="s">
        <v>8</v>
      </c>
      <c r="N1" s="2" t="s">
        <v>9</v>
      </c>
      <c r="O1" s="3"/>
    </row>
    <row r="2" spans="1:15" x14ac:dyDescent="0.25">
      <c r="A2" t="s">
        <v>14</v>
      </c>
      <c r="K2" s="15" t="s">
        <v>21</v>
      </c>
      <c r="L2" s="13" t="s">
        <v>10</v>
      </c>
      <c r="N2" s="5" t="s">
        <v>11</v>
      </c>
      <c r="O2" s="6">
        <f>SUM(J7:J11)+J5</f>
        <v>304.83199999999999</v>
      </c>
    </row>
    <row r="3" spans="1:15" ht="48" customHeight="1" x14ac:dyDescent="0.25">
      <c r="B3" s="15" t="s">
        <v>18</v>
      </c>
      <c r="C3" t="s">
        <v>19</v>
      </c>
      <c r="E3" t="s">
        <v>20</v>
      </c>
      <c r="F3" s="4" t="s">
        <v>17</v>
      </c>
      <c r="G3">
        <v>1</v>
      </c>
      <c r="H3">
        <v>125.42</v>
      </c>
      <c r="I3">
        <v>0</v>
      </c>
      <c r="J3">
        <f>(G3*H3)+I3</f>
        <v>125.42</v>
      </c>
      <c r="K3" s="15" t="s">
        <v>51</v>
      </c>
      <c r="L3" s="13" t="s">
        <v>45</v>
      </c>
      <c r="N3" s="5" t="s">
        <v>12</v>
      </c>
      <c r="O3" s="7">
        <v>0.25</v>
      </c>
    </row>
    <row r="4" spans="1:15" ht="74.25" customHeight="1" x14ac:dyDescent="0.3">
      <c r="B4" s="15" t="s">
        <v>25</v>
      </c>
      <c r="C4" t="s">
        <v>24</v>
      </c>
      <c r="E4" t="s">
        <v>23</v>
      </c>
      <c r="F4" s="4" t="s">
        <v>22</v>
      </c>
      <c r="G4">
        <v>1</v>
      </c>
      <c r="H4">
        <v>144.47999999999999</v>
      </c>
      <c r="I4">
        <v>10</v>
      </c>
      <c r="J4">
        <f t="shared" ref="J4:J9" si="0">(G4*H4)+I4</f>
        <v>154.47999999999999</v>
      </c>
      <c r="K4" s="15" t="s">
        <v>52</v>
      </c>
      <c r="L4" s="13" t="s">
        <v>45</v>
      </c>
      <c r="N4" s="8" t="s">
        <v>13</v>
      </c>
      <c r="O4" s="9">
        <f>O2+O2*O3</f>
        <v>381.03999999999996</v>
      </c>
    </row>
    <row r="5" spans="1:15" ht="75" customHeight="1" x14ac:dyDescent="0.25">
      <c r="B5" s="15" t="s">
        <v>26</v>
      </c>
      <c r="C5" s="15" t="s">
        <v>28</v>
      </c>
      <c r="E5" t="s">
        <v>29</v>
      </c>
      <c r="F5" s="4" t="s">
        <v>27</v>
      </c>
      <c r="G5">
        <v>1</v>
      </c>
      <c r="H5">
        <v>159.94999999999999</v>
      </c>
      <c r="I5">
        <v>8.9499999999999993</v>
      </c>
      <c r="J5">
        <f t="shared" si="0"/>
        <v>168.89999999999998</v>
      </c>
      <c r="K5" s="15" t="s">
        <v>53</v>
      </c>
      <c r="L5" s="13" t="s">
        <v>50</v>
      </c>
    </row>
    <row r="6" spans="1:15" ht="53.25" customHeight="1" x14ac:dyDescent="0.25">
      <c r="B6" s="15" t="s">
        <v>30</v>
      </c>
      <c r="C6" t="s">
        <v>31</v>
      </c>
      <c r="E6" t="s">
        <v>32</v>
      </c>
      <c r="F6" t="s">
        <v>32</v>
      </c>
      <c r="G6" t="s">
        <v>32</v>
      </c>
      <c r="H6" t="s">
        <v>32</v>
      </c>
      <c r="I6" t="s">
        <v>32</v>
      </c>
      <c r="J6" t="e">
        <f t="shared" si="0"/>
        <v>#VALUE!</v>
      </c>
      <c r="K6" s="15" t="s">
        <v>54</v>
      </c>
      <c r="L6" s="13" t="s">
        <v>45</v>
      </c>
    </row>
    <row r="7" spans="1:15" ht="93.75" customHeight="1" x14ac:dyDescent="0.25">
      <c r="A7" t="s">
        <v>33</v>
      </c>
      <c r="B7" s="15" t="s">
        <v>34</v>
      </c>
      <c r="C7" t="s">
        <v>24</v>
      </c>
      <c r="E7" t="s">
        <v>39</v>
      </c>
      <c r="F7" s="4" t="s">
        <v>35</v>
      </c>
      <c r="G7">
        <v>1</v>
      </c>
      <c r="H7">
        <v>12.15</v>
      </c>
      <c r="J7">
        <f t="shared" si="0"/>
        <v>12.15</v>
      </c>
      <c r="L7" s="13" t="s">
        <v>10</v>
      </c>
    </row>
    <row r="8" spans="1:15" ht="87.75" customHeight="1" x14ac:dyDescent="0.25">
      <c r="A8" t="s">
        <v>41</v>
      </c>
      <c r="B8" s="15" t="s">
        <v>42</v>
      </c>
      <c r="C8" t="s">
        <v>24</v>
      </c>
      <c r="E8" t="s">
        <v>43</v>
      </c>
      <c r="F8" s="4" t="s">
        <v>44</v>
      </c>
      <c r="G8">
        <v>25</v>
      </c>
      <c r="H8">
        <v>0.89</v>
      </c>
      <c r="I8">
        <v>3.95</v>
      </c>
      <c r="J8">
        <f t="shared" si="0"/>
        <v>26.2</v>
      </c>
      <c r="L8" s="13" t="s">
        <v>10</v>
      </c>
    </row>
    <row r="9" spans="1:15" ht="84.75" customHeight="1" x14ac:dyDescent="0.25">
      <c r="A9" t="s">
        <v>36</v>
      </c>
      <c r="B9" s="15" t="s">
        <v>37</v>
      </c>
      <c r="C9" t="s">
        <v>24</v>
      </c>
      <c r="E9" t="s">
        <v>40</v>
      </c>
      <c r="F9" s="4" t="s">
        <v>38</v>
      </c>
      <c r="G9">
        <v>1</v>
      </c>
      <c r="H9">
        <v>19.989999999999998</v>
      </c>
      <c r="I9">
        <v>6.96</v>
      </c>
      <c r="J9">
        <f t="shared" si="0"/>
        <v>26.95</v>
      </c>
      <c r="L9" s="13" t="s">
        <v>10</v>
      </c>
    </row>
    <row r="10" spans="1:15" ht="80.25" customHeight="1" x14ac:dyDescent="0.25">
      <c r="A10" t="s">
        <v>46</v>
      </c>
      <c r="B10" s="15" t="s">
        <v>47</v>
      </c>
      <c r="C10" t="s">
        <v>19</v>
      </c>
      <c r="E10" t="s">
        <v>48</v>
      </c>
      <c r="F10" s="4" t="s">
        <v>49</v>
      </c>
      <c r="G10">
        <v>1</v>
      </c>
      <c r="H10" s="1">
        <v>11.99</v>
      </c>
      <c r="I10" s="1">
        <v>8.9499999999999993</v>
      </c>
      <c r="J10" s="1">
        <f>((G10*H10)+I10)*1.8</f>
        <v>37.692</v>
      </c>
      <c r="L10" s="13" t="s">
        <v>10</v>
      </c>
    </row>
    <row r="11" spans="1:15" ht="85.5" customHeight="1" x14ac:dyDescent="0.25">
      <c r="A11" t="s">
        <v>56</v>
      </c>
      <c r="B11"/>
      <c r="C11" t="s">
        <v>24</v>
      </c>
      <c r="E11" t="s">
        <v>57</v>
      </c>
      <c r="F11" s="4" t="s">
        <v>58</v>
      </c>
      <c r="G11">
        <v>1</v>
      </c>
      <c r="H11" s="1">
        <v>25.99</v>
      </c>
      <c r="I11" s="1">
        <v>6.95</v>
      </c>
      <c r="J11" s="1">
        <f>G11*H11 + I11</f>
        <v>32.94</v>
      </c>
      <c r="K11" s="15" t="s">
        <v>59</v>
      </c>
    </row>
    <row r="12" spans="1:15" x14ac:dyDescent="0.25">
      <c r="H12" s="1"/>
      <c r="I12" s="1"/>
      <c r="J12" s="1"/>
    </row>
  </sheetData>
  <autoFilter ref="A1:L4" xr:uid="{00000000-0001-0000-0000-000000000000}"/>
  <conditionalFormatting sqref="L1:L10">
    <cfRule type="cellIs" dxfId="4" priority="8" operator="equal">
      <formula>"Kan worden besteld"</formula>
    </cfRule>
  </conditionalFormatting>
  <conditionalFormatting sqref="L3:L6">
    <cfRule type="cellIs" dxfId="3" priority="7" operator="equal">
      <formula>"Nog niet beschikbaar"</formula>
    </cfRule>
  </conditionalFormatting>
  <conditionalFormatting sqref="L4:L10">
    <cfRule type="cellIs" dxfId="2" priority="6" operator="equal">
      <formula>"Nog niet beschikbaar"</formula>
    </cfRule>
  </conditionalFormatting>
  <conditionalFormatting sqref="L3:L6">
    <cfRule type="cellIs" dxfId="1" priority="5" operator="equal">
      <formula>"Keuze"</formula>
    </cfRule>
  </conditionalFormatting>
  <conditionalFormatting sqref="L5">
    <cfRule type="cellIs" dxfId="0" priority="4" operator="equal">
      <formula>"Beste keuze"</formula>
    </cfRule>
  </conditionalFormatting>
  <hyperlinks>
    <hyperlink ref="F3" r:id="rId1" xr:uid="{791F6B5A-EE10-4634-B654-2F4251BDEC89}"/>
    <hyperlink ref="F4" r:id="rId2" xr:uid="{21F4E353-DAD6-4DD3-B7BE-579DE88F0586}"/>
    <hyperlink ref="F5" r:id="rId3" xr:uid="{9E1F8581-5330-46E6-B55C-7A336218E4B1}"/>
    <hyperlink ref="F7" r:id="rId4" xr:uid="{1ADAB535-C308-456E-A4DF-D0E6753D6996}"/>
    <hyperlink ref="F9" r:id="rId5" xr:uid="{0AA3EE3C-15D9-4564-80EB-ED282837E618}"/>
    <hyperlink ref="F8" r:id="rId6" xr:uid="{BC86B088-8EB6-44CB-8E95-FE90ADDC9BF9}"/>
    <hyperlink ref="F10" r:id="rId7" location="product-details-tab" xr:uid="{2B56E927-43D3-4929-B0CE-63D1D49D658C}"/>
    <hyperlink ref="F11" r:id="rId8" xr:uid="{14413489-00AD-47D9-A9CC-45FBC2E75940}"/>
  </hyperlinks>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Slaa</dc:creator>
  <cp:lastModifiedBy>Alexander Slaa</cp:lastModifiedBy>
  <dcterms:created xsi:type="dcterms:W3CDTF">2015-06-05T18:17:20Z</dcterms:created>
  <dcterms:modified xsi:type="dcterms:W3CDTF">2022-02-23T15:34:44Z</dcterms:modified>
</cp:coreProperties>
</file>