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D:\Github\Aquastorm\Resources\Steven\"/>
    </mc:Choice>
  </mc:AlternateContent>
  <xr:revisionPtr revIDLastSave="0" documentId="13_ncr:1_{8A107C87-5C18-4CEF-9ECE-CE5B0F56CB1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1" l="1"/>
  <c r="G4" i="1"/>
  <c r="G3" i="1"/>
  <c r="G5" i="1"/>
  <c r="G6" i="1"/>
  <c r="F1048576" i="1"/>
  <c r="M2" i="1" l="1"/>
  <c r="M4" i="1" s="1"/>
</calcChain>
</file>

<file path=xl/sharedStrings.xml><?xml version="1.0" encoding="utf-8"?>
<sst xmlns="http://schemas.openxmlformats.org/spreadsheetml/2006/main" count="33" uniqueCount="28">
  <si>
    <t>Product</t>
  </si>
  <si>
    <t>Winkel</t>
  </si>
  <si>
    <t>Aantal</t>
  </si>
  <si>
    <t>Link</t>
  </si>
  <si>
    <t>NUCLEO-F411RE</t>
  </si>
  <si>
    <t>Conrad</t>
  </si>
  <si>
    <t>STMicroelectronics NUCLEO-F411RE Developmentboard STM32 F4 Series | Conrad.nl</t>
  </si>
  <si>
    <t>JLCPCB</t>
  </si>
  <si>
    <t>Beschrijving</t>
  </si>
  <si>
    <t>Fabricatie kosten</t>
  </si>
  <si>
    <t>Materiaal</t>
  </si>
  <si>
    <t>Overzicht</t>
  </si>
  <si>
    <t>Bedrag Excl onvoorziene kosten</t>
  </si>
  <si>
    <t>Totaal bedrag</t>
  </si>
  <si>
    <t>Onvoorziene kosten</t>
  </si>
  <si>
    <t>Hardware Module</t>
  </si>
  <si>
    <t>1 bestelling is 5 stuks (Prijs bepaald door geschatte componenten op te sturen naar fabrikant en offerte te hebben ontvangen)</t>
  </si>
  <si>
    <t>Voor het testen van code en componenten</t>
  </si>
  <si>
    <t>Hoofd Module</t>
  </si>
  <si>
    <t xml:space="preserve">De prijs is gebasseerd op die van de Hoofd-module. De prijs kan dus goedkoper of duurder uitvallen. </t>
  </si>
  <si>
    <t>Geschatte kosten van het materiaal dat nodig is om de module te produceren. Denk hierbij aan acryl, plastic metaal, schroeven, moeren, lijm, kit, etc..</t>
  </si>
  <si>
    <t>Het Produceren van behuizingen, denk hierbij aan het laten snijden, printen, CNC'en etc.</t>
  </si>
  <si>
    <t>Status</t>
  </si>
  <si>
    <t>Kan worden besteld</t>
  </si>
  <si>
    <t>Nog niet beschikbaar</t>
  </si>
  <si>
    <t>Prijs per stuk</t>
  </si>
  <si>
    <t>Afbeelding</t>
  </si>
  <si>
    <t>Zekerheid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</si>
</sst>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€&quot;\ #,##0.00"/>
  </numFmts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2" borderId="0" applyNumberFormat="0" applyBorder="0" applyAlignment="0" applyProtection="0"/>
  </cellStyleXfs>
  <cellXfs count="11">
    <xf numFmtId="0" fontId="0" fillId="0" borderId="0" xfId="0"/>
    <xf numFmtId="0" fontId="1" fillId="0" borderId="0" xfId="1"/>
    <xf numFmtId="164" fontId="0" fillId="0" borderId="0" xfId="0" applyNumberFormat="1"/>
    <xf numFmtId="0" fontId="3" fillId="2" borderId="4" xfId="2" applyBorder="1"/>
    <xf numFmtId="164" fontId="3" fillId="2" borderId="3" xfId="2" applyNumberFormat="1" applyBorder="1"/>
    <xf numFmtId="10" fontId="3" fillId="2" borderId="1" xfId="2" applyNumberFormat="1" applyBorder="1"/>
    <xf numFmtId="164" fontId="4" fillId="2" borderId="1" xfId="2" applyNumberFormat="1" applyFont="1" applyBorder="1"/>
    <xf numFmtId="0" fontId="2" fillId="2" borderId="1" xfId="2" applyFont="1" applyBorder="1"/>
    <xf numFmtId="0" fontId="5" fillId="2" borderId="1" xfId="2" applyFont="1" applyBorder="1"/>
    <xf numFmtId="0" fontId="6" fillId="2" borderId="2" xfId="2" applyFont="1" applyBorder="1"/>
    <xf numFmtId="49" fontId="0" fillId="0" borderId="0" xfId="0" applyNumberFormat="1"/>
  </cellXfs>
  <cellStyles count="3">
    <cellStyle name="Accent1" xfId="2" builtinId="29"/>
    <cellStyle name="Hyperlink" xfId="1" builtinId="8"/>
    <cellStyle name="Standaard" xfId="0" builtinId="0"/>
  </cellStyles>
  <dxfs count="8"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9"/>
        </patternFill>
      </fill>
    </dxf>
    <dxf>
      <numFmt numFmtId="30" formatCode="@"/>
    </dxf>
    <dxf>
      <numFmt numFmtId="164" formatCode="&quot;€&quot;\ #,##0.00"/>
    </dxf>
    <dxf>
      <numFmt numFmtId="164" formatCode="&quot;€&quot;\ 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9526</xdr:colOff>
      <xdr:row>1</xdr:row>
      <xdr:rowOff>38100</xdr:rowOff>
    </xdr:from>
    <xdr:to>
      <xdr:col>1</xdr:col>
      <xdr:colOff>1971676</xdr:colOff>
      <xdr:row>1</xdr:row>
      <xdr:rowOff>1329584</xdr:rowOff>
    </xdr:to>
    <xdr:pic>
      <xdr:nvPicPr>
        <xdr:cNvPr id="2" name="Afbeelding 1">
          <a:extLst>
            <a:ext uri="{FF2B5EF4-FFF2-40B4-BE49-F238E27FC236}">
              <a16:creationId xmlns:a16="http://schemas.microsoft.com/office/drawing/2014/main" id="{66D3C014-7669-4354-B42D-9932AC46A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66851" y="371475"/>
          <a:ext cx="1962150" cy="129148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BBA577-549A-4BAA-A121-FF893E4FC8FC}" name="Tabel1" displayName="Tabel1" ref="A1:J6" totalsRowShown="0">
  <autoFilter ref="A1:J6" xr:uid="{43BBA577-549A-4BAA-A121-FF893E4FC8FC}"/>
  <tableColumns count="10">
    <tableColumn id="1" xr3:uid="{5284B5B2-0CA7-463C-8624-5D965981C2FD}" name="Product"/>
    <tableColumn id="10" xr3:uid="{4E0F0235-5BDB-4B77-AAE5-67F30DD178C2}" name="Afbeelding"/>
    <tableColumn id="2" xr3:uid="{B7020C53-AB22-4DF3-9D3D-D8D0D26043C6}" name="Winkel"/>
    <tableColumn id="3" xr3:uid="{78DC4D43-2BD9-4385-A67D-1B0E718DBD26}" name="Link"/>
    <tableColumn id="4" xr3:uid="{FC869D40-D8D8-402C-83A8-D11F56F344BF}" name="Aantal"/>
    <tableColumn id="5" xr3:uid="{174C0AF9-53BB-49B7-8283-E119C1EE8C6D}" name="Prijs per stuk" dataDxfId="7"/>
    <tableColumn id="6" xr3:uid="{16EB43D6-81B2-4E29-B5CE-8D0F42C13CAA}" name="Totaal bedrag" dataDxfId="6">
      <calculatedColumnFormula>E2*F2</calculatedColumnFormula>
    </tableColumn>
    <tableColumn id="7" xr3:uid="{A7CD0D0F-6530-4721-8633-A72254C7C8A1}" name="Beschrijving"/>
    <tableColumn id="13" xr3:uid="{C0EC3B0F-0670-4251-BE71-3CDA3AC8A39B}" name="Zekerheid"/>
    <tableColumn id="8" xr3:uid="{17EC1937-D0DA-4A1F-948B-1A5BEF8BDB40}" name="Status" dataDxfId="5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conrad.nl/p/stmicroelectronics-nucleo-f411re-developmentboard-stm32-f4-series-1416928?WT.mc_id=gshop&amp;utm_source=google&amp;utm_medium=surfaces&amp;utm_term=1416928&amp;utm_content=free-google-shopping-clicks&amp;utm_campaign=shopping-feed&amp;gclid=Cj0KCQiAjJOQBhCkARIsAEKMtO37NK3yRgaSxBjUJXdPCozc5NgzvTALIPzX6ALzCLA5EQcx98VuQXIaAimoEALw_wcB&amp;gclsrc=aw.ds&amp;tid=14577896136_127479790272_pla-302202374812_pla-1416928&amp;WT.srch=1&amp;vat=true&amp;insert_kz=8J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48576"/>
  <sheetViews>
    <sheetView tabSelected="1" workbookViewId="0">
      <selection activeCell="B13" sqref="B13"/>
    </sheetView>
  </sheetViews>
  <sheetFormatPr defaultRowHeight="15" x14ac:dyDescent="0.25"/>
  <cols>
    <col min="1" max="1" width="21.85546875" customWidth="1"/>
    <col min="2" max="2" width="62" customWidth="1"/>
    <col min="3" max="3" width="14.140625" customWidth="1"/>
    <col min="4" max="4" width="31.85546875" customWidth="1"/>
    <col min="6" max="6" width="15.7109375" style="2" customWidth="1"/>
    <col min="7" max="7" width="17.42578125" customWidth="1"/>
    <col min="8" max="9" width="37.7109375" customWidth="1"/>
    <col min="10" max="10" width="22.85546875" style="10" customWidth="1"/>
    <col min="11" max="11" width="14.5703125" customWidth="1"/>
    <col min="12" max="12" width="29.28515625" customWidth="1"/>
    <col min="13" max="13" width="13.42578125" bestFit="1" customWidth="1"/>
  </cols>
  <sheetData>
    <row r="1" spans="1:13" ht="26.25" x14ac:dyDescent="0.4">
      <c r="A1" t="s">
        <v>0</v>
      </c>
      <c r="B1" t="s">
        <v>26</v>
      </c>
      <c r="C1" t="s">
        <v>1</v>
      </c>
      <c r="D1" t="s">
        <v>3</v>
      </c>
      <c r="E1" t="s">
        <v>2</v>
      </c>
      <c r="F1" s="2" t="s">
        <v>25</v>
      </c>
      <c r="G1" t="s">
        <v>13</v>
      </c>
      <c r="H1" t="s">
        <v>8</v>
      </c>
      <c r="I1" t="s">
        <v>27</v>
      </c>
      <c r="J1" s="10" t="s">
        <v>22</v>
      </c>
      <c r="L1" s="9" t="s">
        <v>11</v>
      </c>
      <c r="M1" s="3"/>
    </row>
    <row r="2" spans="1:13" ht="107.25" customHeight="1" x14ac:dyDescent="0.25">
      <c r="A2" t="s">
        <v>4</v>
      </c>
      <c r="C2" t="s">
        <v>5</v>
      </c>
      <c r="D2" s="1" t="s">
        <v>6</v>
      </c>
      <c r="E2">
        <v>1</v>
      </c>
      <c r="F2" s="2">
        <v>24.99</v>
      </c>
      <c r="G2" s="2">
        <f>E2*F2</f>
        <v>24.99</v>
      </c>
      <c r="H2" t="s">
        <v>17</v>
      </c>
      <c r="J2" s="10" t="s">
        <v>23</v>
      </c>
      <c r="L2" s="7" t="s">
        <v>12</v>
      </c>
      <c r="M2" s="4">
        <f>SUM(G:G)</f>
        <v>1591.33</v>
      </c>
    </row>
    <row r="3" spans="1:13" x14ac:dyDescent="0.25">
      <c r="A3" t="s">
        <v>18</v>
      </c>
      <c r="C3" t="s">
        <v>7</v>
      </c>
      <c r="E3">
        <v>1</v>
      </c>
      <c r="F3" s="2">
        <v>239.39</v>
      </c>
      <c r="G3" s="2">
        <f>E3*F3</f>
        <v>239.39</v>
      </c>
      <c r="H3" t="s">
        <v>16</v>
      </c>
      <c r="J3" s="10" t="s">
        <v>24</v>
      </c>
      <c r="L3" s="7" t="s">
        <v>14</v>
      </c>
      <c r="M3" s="5">
        <v>0.25</v>
      </c>
    </row>
    <row r="4" spans="1:13" ht="18.75" x14ac:dyDescent="0.3">
      <c r="A4" t="s">
        <v>15</v>
      </c>
      <c r="C4" t="s">
        <v>7</v>
      </c>
      <c r="E4">
        <v>5</v>
      </c>
      <c r="F4" s="2">
        <v>239.39</v>
      </c>
      <c r="G4" s="2">
        <f>E4*F4</f>
        <v>1196.9499999999998</v>
      </c>
      <c r="H4" t="s">
        <v>19</v>
      </c>
      <c r="J4" s="10" t="s">
        <v>24</v>
      </c>
      <c r="L4" s="8" t="s">
        <v>13</v>
      </c>
      <c r="M4" s="6">
        <f>M2+M2*M3</f>
        <v>1989.1624999999999</v>
      </c>
    </row>
    <row r="5" spans="1:13" x14ac:dyDescent="0.25">
      <c r="A5" t="s">
        <v>9</v>
      </c>
      <c r="E5">
        <v>1</v>
      </c>
      <c r="F5" s="2">
        <v>50</v>
      </c>
      <c r="G5" s="2">
        <f t="shared" ref="G5:G6" si="0">E5*F5</f>
        <v>50</v>
      </c>
      <c r="H5" t="s">
        <v>21</v>
      </c>
      <c r="J5" s="10" t="s">
        <v>24</v>
      </c>
    </row>
    <row r="6" spans="1:13" x14ac:dyDescent="0.25">
      <c r="A6" t="s">
        <v>10</v>
      </c>
      <c r="E6">
        <v>1</v>
      </c>
      <c r="F6" s="2">
        <v>80</v>
      </c>
      <c r="G6" s="2">
        <f t="shared" si="0"/>
        <v>80</v>
      </c>
      <c r="H6" t="s">
        <v>20</v>
      </c>
      <c r="J6" s="10" t="s">
        <v>24</v>
      </c>
    </row>
    <row r="1048576" spans="6:6" x14ac:dyDescent="0.25">
      <c r="F1048576" s="2">
        <f>SUM(F3:F1048575)</f>
        <v>608.78</v>
      </c>
    </row>
  </sheetData>
  <conditionalFormatting sqref="J1:J1048576">
    <cfRule type="cellIs" dxfId="4" priority="6" operator="equal">
      <formula>"Kan worden besteld"</formula>
    </cfRule>
  </conditionalFormatting>
  <conditionalFormatting sqref="J3">
    <cfRule type="cellIs" dxfId="3" priority="4" operator="equal">
      <formula>"Nog niet beschikbaar"</formula>
    </cfRule>
  </conditionalFormatting>
  <conditionalFormatting sqref="J4">
    <cfRule type="cellIs" dxfId="2" priority="3" operator="equal">
      <formula>"Nog niet beschikbaar"</formula>
    </cfRule>
  </conditionalFormatting>
  <conditionalFormatting sqref="J5">
    <cfRule type="cellIs" dxfId="1" priority="2" operator="equal">
      <formula>"Nog niet beschikbaar"</formula>
    </cfRule>
  </conditionalFormatting>
  <conditionalFormatting sqref="J6">
    <cfRule type="cellIs" dxfId="0" priority="1" operator="equal">
      <formula>"Nog niet beschikbaar"</formula>
    </cfRule>
  </conditionalFormatting>
  <hyperlinks>
    <hyperlink ref="D2" r:id="rId1" display="https://www.conrad.nl/p/stmicroelectronics-nucleo-f411re-developmentboard-stm32-f4-series-1416928?WT.mc_id=gshop&amp;utm_source=google&amp;utm_medium=surfaces&amp;utm_term=1416928&amp;utm_content=free-google-shopping-clicks&amp;utm_campaign=shopping-feed&amp;gclid=Cj0KCQiAjJOQBhCkARIsAEKMtO37NK3yRgaSxBjUJXdPCozc5NgzvTALIPzX6ALzCLA5EQcx98VuQXIaAimoEALw_wcB&amp;gclsrc=aw.ds&amp;tid=14577896136_127479790272_pla-302202374812_pla-1416928&amp;WT.srch=1&amp;vat=true&amp;insert_kz=8J" xr:uid="{DF04C681-9A4D-429B-9EB2-D5D687ACD76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Slaa</dc:creator>
  <cp:lastModifiedBy>Steven Slaa</cp:lastModifiedBy>
  <dcterms:created xsi:type="dcterms:W3CDTF">2015-06-05T18:17:20Z</dcterms:created>
  <dcterms:modified xsi:type="dcterms:W3CDTF">2022-02-16T22:47:06Z</dcterms:modified>
</cp:coreProperties>
</file>