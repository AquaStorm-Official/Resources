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Github\Aquastorm\Resources\Steven\"/>
    </mc:Choice>
  </mc:AlternateContent>
  <xr:revisionPtr revIDLastSave="0" documentId="13_ncr:1_{E1D87FB7-C85F-48B0-A1AE-FA0542C785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7" i="1"/>
  <c r="H8" i="1"/>
  <c r="H2" i="1"/>
  <c r="H4" i="1"/>
  <c r="H3" i="1"/>
  <c r="H5" i="1"/>
  <c r="H6" i="1"/>
  <c r="F1048576" i="1"/>
  <c r="M2" i="1" l="1"/>
  <c r="M4" i="1" s="1"/>
</calcChain>
</file>

<file path=xl/sharedStrings.xml><?xml version="1.0" encoding="utf-8"?>
<sst xmlns="http://schemas.openxmlformats.org/spreadsheetml/2006/main" count="52" uniqueCount="42">
  <si>
    <t>Product</t>
  </si>
  <si>
    <t>Winkel</t>
  </si>
  <si>
    <t>Aantal</t>
  </si>
  <si>
    <t>Link</t>
  </si>
  <si>
    <t>NUCLEO-F411RE</t>
  </si>
  <si>
    <t>Conrad</t>
  </si>
  <si>
    <t>STMicroelectronics NUCLEO-F411RE Developmentboard STM32 F4 Series | Conrad.nl</t>
  </si>
  <si>
    <t>JLCPCB</t>
  </si>
  <si>
    <t>Beschrijving</t>
  </si>
  <si>
    <t>Overzicht</t>
  </si>
  <si>
    <t>Bedrag Excl onvoorziene kosten</t>
  </si>
  <si>
    <t>Totaal bedrag</t>
  </si>
  <si>
    <t>Onvoorziene kosten</t>
  </si>
  <si>
    <t>Hardware Module</t>
  </si>
  <si>
    <t>1 bestelling is 5 stuks (Prijs bepaald door geschatte componenten op te sturen naar fabrikant en offerte te hebben ontvangen)</t>
  </si>
  <si>
    <t>Voor het testen van code en componenten</t>
  </si>
  <si>
    <t>Hoofd Module</t>
  </si>
  <si>
    <t xml:space="preserve">De prijs is gebasseerd op die van de Hoofd-module. De prijs kan dus goedkoper of duurder uitvallen. </t>
  </si>
  <si>
    <t>Status</t>
  </si>
  <si>
    <t>Kan worden besteld</t>
  </si>
  <si>
    <t>Nog niet beschikbaar</t>
  </si>
  <si>
    <t>Afbeelding</t>
  </si>
  <si>
    <t>Verzendkosten</t>
  </si>
  <si>
    <t>Prijs per stuk excl. Btw.</t>
  </si>
  <si>
    <t>Totaal bedrag (btw + verzend kosten)</t>
  </si>
  <si>
    <t>Threaded inserts</t>
  </si>
  <si>
    <t>Amazon</t>
  </si>
  <si>
    <t>Amazon | Threaded Inserts M3</t>
  </si>
  <si>
    <t>TOPRC | XT60 Female 4 stuks</t>
  </si>
  <si>
    <t>TOPRC</t>
  </si>
  <si>
    <t>XT60 Connectoren</t>
  </si>
  <si>
    <t>Draad</t>
  </si>
  <si>
    <t>Deze zijn waarschijnlijk nodig om de PCB's te bevestigen in de behuizing</t>
  </si>
  <si>
    <t>Deze zijn om de PCB's van voeding te voorzien. Het kan zijn dat deze al beschikbaar zijn in de werkplaats.</t>
  </si>
  <si>
    <t>Dit is nodig om de PCB's van voeding te voorzien. Het kan zijn dat deze al beschikbaar zijn in de werkplaats.</t>
  </si>
  <si>
    <t>SMA Adapter</t>
  </si>
  <si>
    <t>Amazon | Wire 14 AWG</t>
  </si>
  <si>
    <t>Amazon | SMA Adapter</t>
  </si>
  <si>
    <t>3D printer fillament</t>
  </si>
  <si>
    <t>Amazon | 3D printer fillament</t>
  </si>
  <si>
    <t>Dit is nodig voor het produceren van de behuizing. Deze is waarschijnlijk al beschikbaar in de werkplaats. Hij staat er bij voor de zekerheid.</t>
  </si>
  <si>
    <t>Deze zijn waarschijnlijk nodig voor de GPS module om er een externe antenne op aan te sluiten.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</si>
</sst>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12">
    <xf numFmtId="0" fontId="0" fillId="0" borderId="0" xfId="0"/>
    <xf numFmtId="0" fontId="1" fillId="0" borderId="0" xfId="1"/>
    <xf numFmtId="164" fontId="0" fillId="0" borderId="0" xfId="0" applyNumberFormat="1"/>
    <xf numFmtId="0" fontId="3" fillId="2" borderId="4" xfId="2" applyBorder="1"/>
    <xf numFmtId="164" fontId="3" fillId="2" borderId="3" xfId="2" applyNumberFormat="1" applyBorder="1"/>
    <xf numFmtId="10" fontId="3" fillId="2" borderId="1" xfId="2" applyNumberFormat="1" applyBorder="1"/>
    <xf numFmtId="164" fontId="4" fillId="2" borderId="1" xfId="2" applyNumberFormat="1" applyFont="1" applyBorder="1"/>
    <xf numFmtId="0" fontId="2" fillId="2" borderId="1" xfId="2" applyFont="1" applyBorder="1"/>
    <xf numFmtId="0" fontId="5" fillId="2" borderId="1" xfId="2" applyFont="1" applyBorder="1"/>
    <xf numFmtId="0" fontId="6" fillId="2" borderId="2" xfId="2" applyFont="1" applyBorder="1"/>
    <xf numFmtId="49" fontId="0" fillId="0" borderId="0" xfId="0" applyNumberFormat="1"/>
    <xf numFmtId="49" fontId="0" fillId="0" borderId="5" xfId="0" applyNumberFormat="1" applyFont="1" applyBorder="1"/>
  </cellXfs>
  <cellStyles count="3">
    <cellStyle name="Accent1" xfId="2" builtinId="29"/>
    <cellStyle name="Hyperlink" xfId="1" builtinId="8"/>
    <cellStyle name="Standaard" xfId="0" builtinId="0"/>
  </cellStyles>
  <dxfs count="15"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numFmt numFmtId="164" formatCode="&quot;€&quot;\ #,##0.00"/>
    </dxf>
    <dxf>
      <numFmt numFmtId="164" formatCode="&quot;€&quot;\ #,##0.00"/>
    </dxf>
    <dxf>
      <numFmt numFmtId="164" formatCode="&quot;€&quot;\ #,##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1</xdr:row>
      <xdr:rowOff>38100</xdr:rowOff>
    </xdr:from>
    <xdr:to>
      <xdr:col>1</xdr:col>
      <xdr:colOff>1971676</xdr:colOff>
      <xdr:row>1</xdr:row>
      <xdr:rowOff>1329584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66D3C014-7669-4354-B42D-9932AC46A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1" y="371475"/>
          <a:ext cx="1962150" cy="129148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</xdr:row>
      <xdr:rowOff>9525</xdr:rowOff>
    </xdr:from>
    <xdr:to>
      <xdr:col>1</xdr:col>
      <xdr:colOff>2238375</xdr:colOff>
      <xdr:row>7</xdr:row>
      <xdr:rowOff>3940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E112E956-15BE-406E-80F2-331345E38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6850" y="4324350"/>
          <a:ext cx="2228850" cy="1213615"/>
        </a:xfrm>
        <a:prstGeom prst="rect">
          <a:avLst/>
        </a:prstGeom>
      </xdr:spPr>
    </xdr:pic>
    <xdr:clientData/>
  </xdr:twoCellAnchor>
  <xdr:twoCellAnchor editAs="oneCell">
    <xdr:from>
      <xdr:col>1</xdr:col>
      <xdr:colOff>42832</xdr:colOff>
      <xdr:row>7</xdr:row>
      <xdr:rowOff>61944</xdr:rowOff>
    </xdr:from>
    <xdr:to>
      <xdr:col>1</xdr:col>
      <xdr:colOff>2162173</xdr:colOff>
      <xdr:row>7</xdr:row>
      <xdr:rowOff>1200152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C559389A-6855-4700-BBFF-8407229C9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990724" y="5105402"/>
          <a:ext cx="1138208" cy="2119341"/>
        </a:xfrm>
        <a:prstGeom prst="rect">
          <a:avLst/>
        </a:prstGeom>
      </xdr:spPr>
    </xdr:pic>
    <xdr:clientData/>
  </xdr:twoCellAnchor>
  <xdr:twoCellAnchor editAs="oneCell">
    <xdr:from>
      <xdr:col>1</xdr:col>
      <xdr:colOff>90421</xdr:colOff>
      <xdr:row>8</xdr:row>
      <xdr:rowOff>85726</xdr:rowOff>
    </xdr:from>
    <xdr:to>
      <xdr:col>1</xdr:col>
      <xdr:colOff>2028829</xdr:colOff>
      <xdr:row>8</xdr:row>
      <xdr:rowOff>1619152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65ADC207-530E-47A4-B402-A0B1F79B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1750237" y="6665035"/>
          <a:ext cx="1533426" cy="193840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BBA577-549A-4BAA-A121-FF893E4FC8FC}" name="Tabel1" displayName="Tabel1" ref="A1:J8" totalsRowShown="0">
  <autoFilter ref="A1:J8" xr:uid="{43BBA577-549A-4BAA-A121-FF893E4FC8FC}"/>
  <tableColumns count="10">
    <tableColumn id="1" xr3:uid="{5284B5B2-0CA7-463C-8624-5D965981C2FD}" name="Product"/>
    <tableColumn id="10" xr3:uid="{4E0F0235-5BDB-4B77-AAE5-67F30DD178C2}" name="Afbeelding"/>
    <tableColumn id="2" xr3:uid="{B7020C53-AB22-4DF3-9D3D-D8D0D26043C6}" name="Winkel"/>
    <tableColumn id="3" xr3:uid="{78DC4D43-2BD9-4385-A67D-1B0E718DBD26}" name="Link"/>
    <tableColumn id="4" xr3:uid="{FC869D40-D8D8-402C-83A8-D11F56F344BF}" name="Aantal"/>
    <tableColumn id="5" xr3:uid="{174C0AF9-53BB-49B7-8283-E119C1EE8C6D}" name="Prijs per stuk excl. Btw." dataDxfId="11"/>
    <tableColumn id="11" xr3:uid="{B8FCC8E6-AE9C-45F3-BBE8-20E2C28B55D3}" name="Verzendkosten" dataDxfId="12"/>
    <tableColumn id="6" xr3:uid="{16EB43D6-81B2-4E29-B5CE-8D0F42C13CAA}" name="Totaal bedrag (btw + verzend kosten)" dataDxfId="13">
      <calculatedColumnFormula>E2*F2 + G2</calculatedColumnFormula>
    </tableColumn>
    <tableColumn id="7" xr3:uid="{A7CD0D0F-6530-4721-8633-A72254C7C8A1}" name="Beschrijving"/>
    <tableColumn id="8" xr3:uid="{17EC1937-D0DA-4A1F-948B-1A5BEF8BDB40}" name="Status" dataDxfId="1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toprc.nl/xt60pw-goudstekker-vrouw-4stuks.html?gclid=Cj0KCQiA09eQBhCxARIsAAYRiylObTD9u6nsNIQu6X2b9VJNhhhIvwpZoHfX0KcA3sbakyhpP9WOrRoaAtt5EALw_wcB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amazon.nl/dp/B08BCRZZS3/ref=cm_sw_em_r_mt_dp_0J3YJ2WVY1044GEJ40B9?_encoding=UTF8&amp;psc=1" TargetMode="External"/><Relationship Id="rId1" Type="http://schemas.openxmlformats.org/officeDocument/2006/relationships/hyperlink" Target="https://www.conrad.nl/p/stmicroelectronics-nucleo-f411re-developmentboard-stm32-f4-series-1416928?WT.mc_id=gshop&amp;utm_source=google&amp;utm_medium=surfaces&amp;utm_term=1416928&amp;utm_content=free-google-shopping-clicks&amp;utm_campaign=shopping-feed&amp;gclid=Cj0KCQiAjJOQBhCkARIsAEKMtO37NK3yRgaSxBjUJXdPCozc5NgzvTALIPzX6ALzCLA5EQcx98VuQXIaAimoEALw_wcB&amp;gclsrc=aw.ds&amp;tid=14577896136_127479790272_pla-302202374812_pla-1416928&amp;WT.srch=1&amp;vat=true&amp;insert_kz=8J" TargetMode="External"/><Relationship Id="rId6" Type="http://schemas.openxmlformats.org/officeDocument/2006/relationships/hyperlink" Target="https://www.amazon.nl/Filament-TINMORRY-Printing-Materials-Printer/dp/B083Y5G2GJ/ref=sr_1_3_sspa?keywords=1kg+filament&amp;qid=1645617663&amp;sprefix=1kg+fil%2Caps%2C117&amp;sr=8-3-spons&amp;psc=1&amp;spLa=ZW5jcnlwdGVkUXVhbGlmaWVyPUExRjJDTjFBOTFUOTcwJmVuY3J5cHRlZElkPUEwMTA0Mjk0MU45R09RWjY3TElZOSZlbmNyeXB0ZWRBZElkPUEwMDMxOTEyNlJPSFk4MkpSVjcwJndpZGdldE5hbWU9c3BfYXRmJmFjdGlvbj1jbGlja1JlZGlyZWN0JmRvTm90TG9nQ2xpY2s9dHJ1ZQ==" TargetMode="External"/><Relationship Id="rId5" Type="http://schemas.openxmlformats.org/officeDocument/2006/relationships/hyperlink" Target="https://www.amazon.nl/Female-Antenne-Coaxiaal-Pigtail-Connector/dp/B08CZD36B2/ref=sr_1_44?__mk_nl_NL=%C3%85M%C3%85%C5%BD%C3%95%C3%91&amp;crid=2CZWLC6Z7669I&amp;keywords=sma+connector&amp;qid=1645617346&amp;sprefix=sma+connector%2Caps%2C74&amp;sr=8-44" TargetMode="External"/><Relationship Id="rId4" Type="http://schemas.openxmlformats.org/officeDocument/2006/relationships/hyperlink" Target="https://www.amazon.nl/siliconen-elektrische-aansluiten-koperdraad-temperatuurbestendigheid/dp/B07TT3KP8S/ref=sr_1_7?__mk_nl_NL=%C3%85M%C3%85%C5%BD%C3%95%C3%91&amp;crid=36REYM4BMEYX6&amp;keywords=14+awg+draad&amp;qid=1645616948&amp;sprefix=14awg+draad%2Caps%2C74&amp;sr=8-7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8576"/>
  <sheetViews>
    <sheetView tabSelected="1" workbookViewId="0">
      <selection activeCell="O2" sqref="O2"/>
    </sheetView>
  </sheetViews>
  <sheetFormatPr defaultRowHeight="15" x14ac:dyDescent="0.25"/>
  <cols>
    <col min="1" max="1" width="21.85546875" customWidth="1"/>
    <col min="2" max="2" width="33.85546875" customWidth="1"/>
    <col min="3" max="3" width="14.140625" customWidth="1"/>
    <col min="4" max="4" width="31.85546875" customWidth="1"/>
    <col min="6" max="6" width="25.28515625" style="2" customWidth="1"/>
    <col min="7" max="7" width="15.7109375" style="2" customWidth="1"/>
    <col min="8" max="8" width="15.7109375" customWidth="1"/>
    <col min="9" max="9" width="37.7109375" customWidth="1"/>
    <col min="10" max="10" width="37.7109375" hidden="1" customWidth="1"/>
    <col min="11" max="11" width="22.85546875" style="10" customWidth="1"/>
    <col min="12" max="12" width="14.5703125" customWidth="1"/>
    <col min="13" max="13" width="29.28515625" customWidth="1"/>
    <col min="14" max="14" width="13.42578125" bestFit="1" customWidth="1"/>
  </cols>
  <sheetData>
    <row r="1" spans="1:13" ht="26.25" x14ac:dyDescent="0.4">
      <c r="A1" t="s">
        <v>0</v>
      </c>
      <c r="B1" t="s">
        <v>21</v>
      </c>
      <c r="C1" t="s">
        <v>1</v>
      </c>
      <c r="D1" t="s">
        <v>3</v>
      </c>
      <c r="E1" t="s">
        <v>2</v>
      </c>
      <c r="F1" s="2" t="s">
        <v>23</v>
      </c>
      <c r="G1" s="2" t="s">
        <v>22</v>
      </c>
      <c r="H1" t="s">
        <v>24</v>
      </c>
      <c r="I1" t="s">
        <v>8</v>
      </c>
      <c r="J1" s="10" t="s">
        <v>18</v>
      </c>
      <c r="K1"/>
      <c r="L1" s="9" t="s">
        <v>9</v>
      </c>
      <c r="M1" s="3"/>
    </row>
    <row r="2" spans="1:13" ht="107.25" customHeight="1" x14ac:dyDescent="0.25">
      <c r="A2" t="s">
        <v>4</v>
      </c>
      <c r="C2" t="s">
        <v>5</v>
      </c>
      <c r="D2" s="1" t="s">
        <v>6</v>
      </c>
      <c r="E2">
        <v>1</v>
      </c>
      <c r="F2" s="2">
        <v>24.99</v>
      </c>
      <c r="G2" s="2">
        <v>6.95</v>
      </c>
      <c r="H2" s="2">
        <f>E2*F2 + G2</f>
        <v>31.939999999999998</v>
      </c>
      <c r="I2" t="s">
        <v>15</v>
      </c>
      <c r="J2" s="10" t="s">
        <v>19</v>
      </c>
      <c r="K2"/>
      <c r="L2" s="7" t="s">
        <v>10</v>
      </c>
      <c r="M2" s="4">
        <f>SUM(H:H)</f>
        <v>1070.8900000000001</v>
      </c>
    </row>
    <row r="3" spans="1:13" ht="95.25" customHeight="1" x14ac:dyDescent="0.25">
      <c r="A3" t="s">
        <v>16</v>
      </c>
      <c r="C3" t="s">
        <v>7</v>
      </c>
      <c r="E3">
        <v>1</v>
      </c>
      <c r="F3" s="2">
        <v>200</v>
      </c>
      <c r="G3" s="2">
        <v>50</v>
      </c>
      <c r="H3" s="2">
        <f t="shared" ref="H3:H6" si="0">E3*F3 + G3</f>
        <v>250</v>
      </c>
      <c r="I3" t="s">
        <v>14</v>
      </c>
      <c r="J3" s="10" t="s">
        <v>20</v>
      </c>
      <c r="K3"/>
      <c r="L3" s="7" t="s">
        <v>12</v>
      </c>
      <c r="M3" s="5">
        <v>0.25</v>
      </c>
    </row>
    <row r="4" spans="1:13" ht="81" customHeight="1" x14ac:dyDescent="0.3">
      <c r="A4" t="s">
        <v>13</v>
      </c>
      <c r="C4" t="s">
        <v>7</v>
      </c>
      <c r="E4">
        <v>5</v>
      </c>
      <c r="F4" s="2">
        <v>130</v>
      </c>
      <c r="G4" s="2">
        <v>40</v>
      </c>
      <c r="H4" s="2">
        <f>E4*F4 + G4</f>
        <v>690</v>
      </c>
      <c r="I4" t="s">
        <v>17</v>
      </c>
      <c r="J4" s="10" t="s">
        <v>20</v>
      </c>
      <c r="K4"/>
      <c r="L4" s="8" t="s">
        <v>11</v>
      </c>
      <c r="M4" s="6">
        <f>M2+M2*M3</f>
        <v>1338.6125000000002</v>
      </c>
    </row>
    <row r="5" spans="1:13" x14ac:dyDescent="0.25">
      <c r="A5" t="s">
        <v>25</v>
      </c>
      <c r="C5" t="s">
        <v>26</v>
      </c>
      <c r="D5" s="1" t="s">
        <v>27</v>
      </c>
      <c r="E5">
        <v>1</v>
      </c>
      <c r="F5" s="2">
        <v>10.99</v>
      </c>
      <c r="H5" s="2">
        <f t="shared" si="0"/>
        <v>10.99</v>
      </c>
      <c r="I5" t="s">
        <v>32</v>
      </c>
      <c r="J5" s="10" t="s">
        <v>20</v>
      </c>
      <c r="K5"/>
    </row>
    <row r="6" spans="1:13" x14ac:dyDescent="0.25">
      <c r="A6" t="s">
        <v>30</v>
      </c>
      <c r="C6" t="s">
        <v>29</v>
      </c>
      <c r="D6" s="1" t="s">
        <v>28</v>
      </c>
      <c r="E6">
        <v>2</v>
      </c>
      <c r="F6" s="2">
        <v>4.75</v>
      </c>
      <c r="G6" s="2">
        <v>3.95</v>
      </c>
      <c r="H6" s="2">
        <f t="shared" si="0"/>
        <v>13.45</v>
      </c>
      <c r="I6" t="s">
        <v>33</v>
      </c>
      <c r="J6" s="10" t="s">
        <v>20</v>
      </c>
      <c r="K6"/>
    </row>
    <row r="7" spans="1:13" ht="96" customHeight="1" x14ac:dyDescent="0.25">
      <c r="A7" t="s">
        <v>31</v>
      </c>
      <c r="C7" t="s">
        <v>26</v>
      </c>
      <c r="D7" s="1" t="s">
        <v>36</v>
      </c>
      <c r="E7">
        <v>1</v>
      </c>
      <c r="F7" s="2">
        <v>16.68</v>
      </c>
      <c r="G7" s="2">
        <v>6.95</v>
      </c>
      <c r="H7" s="2">
        <f>E7*F7 + G7</f>
        <v>23.63</v>
      </c>
      <c r="I7" t="s">
        <v>34</v>
      </c>
      <c r="J7" s="10" t="s">
        <v>20</v>
      </c>
      <c r="K7"/>
    </row>
    <row r="8" spans="1:13" ht="98.25" customHeight="1" x14ac:dyDescent="0.25">
      <c r="A8" t="s">
        <v>35</v>
      </c>
      <c r="C8" t="s">
        <v>26</v>
      </c>
      <c r="D8" s="1" t="s">
        <v>37</v>
      </c>
      <c r="E8">
        <v>1</v>
      </c>
      <c r="F8" s="2">
        <v>10.99</v>
      </c>
      <c r="G8" s="2">
        <v>6.95</v>
      </c>
      <c r="H8" s="2">
        <f>E8*F8 + G8</f>
        <v>17.940000000000001</v>
      </c>
      <c r="I8" t="s">
        <v>41</v>
      </c>
      <c r="J8" s="10" t="s">
        <v>20</v>
      </c>
    </row>
    <row r="9" spans="1:13" ht="128.25" customHeight="1" x14ac:dyDescent="0.25">
      <c r="A9" t="s">
        <v>38</v>
      </c>
      <c r="C9" t="s">
        <v>26</v>
      </c>
      <c r="D9" s="1" t="s">
        <v>39</v>
      </c>
      <c r="E9">
        <v>1</v>
      </c>
      <c r="F9" s="2">
        <v>25.99</v>
      </c>
      <c r="G9" s="2">
        <v>6.95</v>
      </c>
      <c r="H9" s="2">
        <f>E9*F9 + G9</f>
        <v>32.94</v>
      </c>
      <c r="I9" t="s">
        <v>40</v>
      </c>
      <c r="J9" s="11" t="s">
        <v>20</v>
      </c>
    </row>
    <row r="1048576" spans="6:6" x14ac:dyDescent="0.25">
      <c r="F1048576" s="2">
        <f>SUM(F3:F1048575)</f>
        <v>399.40000000000003</v>
      </c>
    </row>
  </sheetData>
  <conditionalFormatting sqref="K8 K10:K1048576 J1:J8">
    <cfRule type="cellIs" dxfId="10" priority="11" operator="equal">
      <formula>"Kan worden besteld"</formula>
    </cfRule>
  </conditionalFormatting>
  <conditionalFormatting sqref="J3">
    <cfRule type="cellIs" dxfId="9" priority="9" operator="equal">
      <formula>"Nog niet beschikbaar"</formula>
    </cfRule>
  </conditionalFormatting>
  <conditionalFormatting sqref="J4">
    <cfRule type="cellIs" dxfId="8" priority="8" operator="equal">
      <formula>"Nog niet beschikbaar"</formula>
    </cfRule>
  </conditionalFormatting>
  <conditionalFormatting sqref="J5">
    <cfRule type="cellIs" dxfId="7" priority="7" operator="equal">
      <formula>"Nog niet beschikbaar"</formula>
    </cfRule>
  </conditionalFormatting>
  <conditionalFormatting sqref="J6">
    <cfRule type="cellIs" dxfId="6" priority="6" operator="equal">
      <formula>"Nog niet beschikbaar"</formula>
    </cfRule>
  </conditionalFormatting>
  <conditionalFormatting sqref="K9">
    <cfRule type="cellIs" dxfId="4" priority="5" operator="equal">
      <formula>"Kan worden besteld"</formula>
    </cfRule>
  </conditionalFormatting>
  <conditionalFormatting sqref="J7">
    <cfRule type="cellIs" dxfId="3" priority="4" operator="equal">
      <formula>"Nog niet beschikbaar"</formula>
    </cfRule>
  </conditionalFormatting>
  <conditionalFormatting sqref="J8">
    <cfRule type="cellIs" dxfId="2" priority="3" operator="equal">
      <formula>"Nog niet beschikbaar"</formula>
    </cfRule>
  </conditionalFormatting>
  <conditionalFormatting sqref="J9">
    <cfRule type="cellIs" dxfId="1" priority="2" operator="equal">
      <formula>"Kan worden besteld"</formula>
    </cfRule>
  </conditionalFormatting>
  <conditionalFormatting sqref="J9">
    <cfRule type="cellIs" dxfId="0" priority="1" operator="equal">
      <formula>"Nog niet beschikbaar"</formula>
    </cfRule>
  </conditionalFormatting>
  <hyperlinks>
    <hyperlink ref="D2" r:id="rId1" display="https://www.conrad.nl/p/stmicroelectronics-nucleo-f411re-developmentboard-stm32-f4-series-1416928?WT.mc_id=gshop&amp;utm_source=google&amp;utm_medium=surfaces&amp;utm_term=1416928&amp;utm_content=free-google-shopping-clicks&amp;utm_campaign=shopping-feed&amp;gclid=Cj0KCQiAjJOQBhCkARIsAEKMtO37NK3yRgaSxBjUJXdPCozc5NgzvTALIPzX6ALzCLA5EQcx98VuQXIaAimoEALw_wcB&amp;gclsrc=aw.ds&amp;tid=14577896136_127479790272_pla-302202374812_pla-1416928&amp;WT.srch=1&amp;vat=true&amp;insert_kz=8J" xr:uid="{DF04C681-9A4D-429B-9EB2-D5D687ACD76A}"/>
    <hyperlink ref="D5" r:id="rId2" xr:uid="{380ED063-0838-4300-9F63-1F3A312B2F3D}"/>
    <hyperlink ref="D6" r:id="rId3" xr:uid="{C6633DC3-BD1E-4A05-9DEE-C2888A4CFA78}"/>
    <hyperlink ref="D7" r:id="rId4" xr:uid="{CAC78024-5EBA-4252-AFF8-5D36D81EAB53}"/>
    <hyperlink ref="D8" r:id="rId5" xr:uid="{6954F100-740F-4F59-B894-68BA83999BAC}"/>
    <hyperlink ref="D9" r:id="rId6" xr:uid="{378BDF46-E3F0-4BF6-AD0F-B1873681039D}"/>
  </hyperlinks>
  <pageMargins left="0.7" right="0.7" top="0.75" bottom="0.75" header="0.3" footer="0.3"/>
  <pageSetup orientation="portrait" r:id="rId7"/>
  <drawing r:id="rId8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Slaa</dc:creator>
  <cp:lastModifiedBy>Steven Slaa</cp:lastModifiedBy>
  <dcterms:created xsi:type="dcterms:W3CDTF">2015-06-05T18:17:20Z</dcterms:created>
  <dcterms:modified xsi:type="dcterms:W3CDTF">2022-02-23T12:35:59Z</dcterms:modified>
</cp:coreProperties>
</file>