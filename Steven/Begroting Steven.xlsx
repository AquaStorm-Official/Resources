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26"/>
  <workbookPr/>
  <mc:AlternateContent xmlns:mc="http://schemas.openxmlformats.org/markup-compatibility/2006">
    <mc:Choice Requires="x15">
      <x15ac:absPath xmlns:x15ac="http://schemas.microsoft.com/office/spreadsheetml/2010/11/ac" url="D:\Github\Aquastorm\Resources\Steven\"/>
    </mc:Choice>
  </mc:AlternateContent>
  <xr:revisionPtr revIDLastSave="0" documentId="13_ncr:1_{EBAC4437-FB31-4067-A338-B8B3E7B57118}" xr6:coauthVersionLast="47" xr6:coauthVersionMax="47" xr10:uidLastSave="{00000000-0000-0000-0000-000000000000}"/>
  <bookViews>
    <workbookView xWindow="-120" yWindow="-120" windowWidth="29040" windowHeight="1572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4" i="1" l="1"/>
  <c r="H10" i="1"/>
  <c r="H9" i="1"/>
  <c r="H8" i="1"/>
  <c r="H11" i="1"/>
  <c r="H4" i="1"/>
  <c r="H7" i="1"/>
  <c r="H2" i="1"/>
  <c r="H3" i="1"/>
  <c r="H5" i="1"/>
  <c r="H6" i="1"/>
  <c r="M2" i="1" l="1"/>
</calcChain>
</file>

<file path=xl/sharedStrings.xml><?xml version="1.0" encoding="utf-8"?>
<sst xmlns="http://schemas.openxmlformats.org/spreadsheetml/2006/main" count="54" uniqueCount="50">
  <si>
    <t>Product</t>
  </si>
  <si>
    <t>Winkel</t>
  </si>
  <si>
    <t>Aantal</t>
  </si>
  <si>
    <t>Link</t>
  </si>
  <si>
    <t>NUCLEO-F411RE</t>
  </si>
  <si>
    <t>Conrad</t>
  </si>
  <si>
    <t>STMicroelectronics NUCLEO-F411RE Developmentboard STM32 F4 Series | Conrad.nl</t>
  </si>
  <si>
    <t>JLCPCB</t>
  </si>
  <si>
    <t>Beschrijving</t>
  </si>
  <si>
    <t>Overzicht</t>
  </si>
  <si>
    <t>Bedrag Excl onvoorziene kosten</t>
  </si>
  <si>
    <t>Voor het testen van code en componenten</t>
  </si>
  <si>
    <t>Afbeelding</t>
  </si>
  <si>
    <t>Verzendkosten</t>
  </si>
  <si>
    <t>Prijs per stuk excl. Btw.</t>
  </si>
  <si>
    <t>Totaal bedrag (btw + verzend kosten)</t>
  </si>
  <si>
    <t>Threaded inserts</t>
  </si>
  <si>
    <t>Amazon</t>
  </si>
  <si>
    <t>Amazon | Threaded Inserts M3</t>
  </si>
  <si>
    <t>TOPRC | XT60 Female 4 stuks</t>
  </si>
  <si>
    <t>TOPRC</t>
  </si>
  <si>
    <t>XT60 Connectoren</t>
  </si>
  <si>
    <t>Draad</t>
  </si>
  <si>
    <t>Amazon | Wire 14 AWG</t>
  </si>
  <si>
    <t>3D printer fillament</t>
  </si>
  <si>
    <t>Amazon | 3D printer fillament</t>
  </si>
  <si>
    <t>Modules</t>
  </si>
  <si>
    <t>Deze behoren bij de printplaten en zijn nodig om de printplaten van stroom te voor zien. Deze zijn vaak slecht leverbaar bij de fabrikant en moeten wellicht los besteld worden.</t>
  </si>
  <si>
    <t>Dit is nodig om de printplaten van voeding te voorzien. Het kan zijn dat deze al beschikbaar zijn in de werkplaats.</t>
  </si>
  <si>
    <t>Onbekend</t>
  </si>
  <si>
    <t>Linux single board computer + accessoires</t>
  </si>
  <si>
    <t>Communicatie bedrading</t>
  </si>
  <si>
    <t>Dit is schatting van wat nodig is voor de hoofdmodule. De prijs is inclusief accessoires. Denk hierbij aan koeling of benodigde shield, SD-kaart, etc.</t>
  </si>
  <si>
    <t>Communicatie connectoren</t>
  </si>
  <si>
    <t>Dit is nodig om de modules met elkaar te laten communiceren. Er wordt hier uit gegaan van CAT6 S-FTP Kabel. Dit kan nog veranderen. Er is tevens rekening gehouden met 25 meter kabel.</t>
  </si>
  <si>
    <t>AlleKabels | CAT6- kabel</t>
  </si>
  <si>
    <t>Reichelt | RJ45 Connector</t>
  </si>
  <si>
    <t>Kolom1</t>
  </si>
  <si>
    <t>Totale kosten</t>
  </si>
  <si>
    <t>1 bestelling is 5 stuks. Prijs is bepaald naar schatting van de hoeveelheid componenten die zich op de printplaten bevinden. Hier is door de fabrikant van de printplaten de volgende prijs uitgekomen.</t>
  </si>
  <si>
    <t>AlleKabels</t>
  </si>
  <si>
    <t>Reichelt</t>
  </si>
  <si>
    <t>Netwerk Switch</t>
  </si>
  <si>
    <t>Alternate | Netwerk Switch</t>
  </si>
  <si>
    <t>Alternate</t>
  </si>
  <si>
    <t>Deze zijn waarschijnlijk nodig om de PCB's te bevestigen in de behuizing. Bij deze kit heb je honderd stuks, wat meer dan genoeg is voor het gehele project.</t>
  </si>
  <si>
    <t>Connectoren zijn nodig om de modules met elkaar te verbinden. Er wordt hier uitgegaan van RJ45 Connectoren. Dit kan nog veranderen. Omdat je vaak connectoren koop per 100 stuks, wordt hier ook vanuit gegaan.</t>
  </si>
  <si>
    <t>Mocht er worden gekozen voor het Ethernet Protocol, is er een netwerk switch nodig. Hier moeten eventueel nog dingen aan worden aangepast.</t>
  </si>
  <si>
    <t>Dit is nodig voor het produceren van de behuizingen. Deze is waarschijnlijk al beschikbaar in de werkplaats. Hij staat er bij voor de zekerheid.</t>
  </si>
  <si>
    <t>Onvoorziene kosten (Dit zijn extra kleine onderdelen die moeten worden aangeschaft. Denk hierbij aan antenne's, connectoren, adapters, etc.)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</si>
</sst>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6" x14ac:knownFonts="1">
    <font>
      <sz val="11"/>
      <color theme="1"/>
      <name val="Calibri"/>
      <family val="2"/>
      <scheme val="minor"/>
    </font>
    <font>
      <u/>
      <sz val="11"/>
      <color theme="10"/>
      <name val="Calibri"/>
      <family val="2"/>
      <scheme val="minor"/>
    </font>
    <font>
      <b/>
      <sz val="11"/>
      <color theme="0"/>
      <name val="Calibri"/>
      <family val="2"/>
      <scheme val="minor"/>
    </font>
    <font>
      <sz val="11"/>
      <color theme="0"/>
      <name val="Calibri"/>
      <family val="2"/>
      <scheme val="minor"/>
    </font>
    <font>
      <b/>
      <sz val="20"/>
      <color theme="0"/>
      <name val="Calibri"/>
      <family val="2"/>
      <scheme val="minor"/>
    </font>
    <font>
      <b/>
      <sz val="11"/>
      <color theme="1"/>
      <name val="Calibri"/>
      <family val="2"/>
      <scheme val="minor"/>
    </font>
  </fonts>
  <fills count="3">
    <fill>
      <patternFill patternType="none"/>
    </fill>
    <fill>
      <patternFill patternType="gray125"/>
    </fill>
    <fill>
      <patternFill patternType="solid">
        <fgColor theme="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theme="4"/>
      </right>
      <top style="thin">
        <color theme="4"/>
      </top>
      <bottom/>
      <diagonal/>
    </border>
  </borders>
  <cellStyleXfs count="3">
    <xf numFmtId="0" fontId="0" fillId="0" borderId="0"/>
    <xf numFmtId="0" fontId="1" fillId="0" borderId="0" applyNumberFormat="0" applyFill="0" applyBorder="0" applyAlignment="0" applyProtection="0"/>
    <xf numFmtId="0" fontId="3" fillId="2" borderId="0" applyNumberFormat="0" applyBorder="0" applyAlignment="0" applyProtection="0"/>
  </cellStyleXfs>
  <cellXfs count="16">
    <xf numFmtId="0" fontId="0" fillId="0" borderId="0" xfId="0"/>
    <xf numFmtId="0" fontId="1" fillId="0" borderId="0" xfId="1"/>
    <xf numFmtId="164" fontId="0" fillId="0" borderId="0" xfId="0" applyNumberFormat="1"/>
    <xf numFmtId="0" fontId="3" fillId="2" borderId="4" xfId="2" applyBorder="1"/>
    <xf numFmtId="164" fontId="3" fillId="2" borderId="3" xfId="2" applyNumberFormat="1" applyBorder="1"/>
    <xf numFmtId="10" fontId="3" fillId="2" borderId="1" xfId="2" applyNumberFormat="1" applyBorder="1"/>
    <xf numFmtId="0" fontId="2" fillId="2" borderId="1" xfId="2" applyFont="1" applyBorder="1"/>
    <xf numFmtId="0" fontId="4" fillId="2" borderId="2" xfId="2" applyFont="1" applyBorder="1"/>
    <xf numFmtId="49" fontId="0" fillId="0" borderId="0" xfId="0" applyNumberFormat="1"/>
    <xf numFmtId="49" fontId="0" fillId="0" borderId="5" xfId="0" applyNumberFormat="1" applyFont="1" applyBorder="1"/>
    <xf numFmtId="0" fontId="0" fillId="0" borderId="0" xfId="0" applyAlignment="1">
      <alignment vertical="top"/>
    </xf>
    <xf numFmtId="0" fontId="5" fillId="0" borderId="0" xfId="0" applyFont="1"/>
    <xf numFmtId="0" fontId="0" fillId="0" borderId="0" xfId="0" applyAlignment="1">
      <alignment horizontal="left" vertical="top"/>
    </xf>
    <xf numFmtId="0" fontId="0" fillId="0" borderId="0" xfId="0" applyAlignment="1">
      <alignment horizontal="left"/>
    </xf>
    <xf numFmtId="164" fontId="3" fillId="2" borderId="1" xfId="2" applyNumberFormat="1" applyBorder="1"/>
    <xf numFmtId="0" fontId="2" fillId="2" borderId="1" xfId="2" applyFont="1" applyBorder="1" applyAlignment="1">
      <alignment wrapText="1"/>
    </xf>
  </cellXfs>
  <cellStyles count="3">
    <cellStyle name="Accent1" xfId="2" builtinId="29"/>
    <cellStyle name="Hyperlink" xfId="1" builtinId="8"/>
    <cellStyle name="Standaard" xfId="0" builtinId="0"/>
  </cellStyles>
  <dxfs count="15">
    <dxf>
      <fill>
        <patternFill>
          <bgColor theme="6"/>
        </patternFill>
      </fill>
    </dxf>
    <dxf>
      <fill>
        <patternFill>
          <bgColor theme="9"/>
        </patternFill>
      </fill>
    </dxf>
    <dxf>
      <fill>
        <patternFill>
          <bgColor theme="6"/>
        </patternFill>
      </fill>
    </dxf>
    <dxf>
      <fill>
        <patternFill>
          <bgColor theme="6"/>
        </patternFill>
      </fill>
    </dxf>
    <dxf>
      <fill>
        <patternFill>
          <bgColor theme="9"/>
        </patternFill>
      </fill>
    </dxf>
    <dxf>
      <fill>
        <patternFill>
          <bgColor theme="6"/>
        </patternFill>
      </fill>
    </dxf>
    <dxf>
      <fill>
        <patternFill>
          <bgColor theme="6"/>
        </patternFill>
      </fill>
    </dxf>
    <dxf>
      <fill>
        <patternFill>
          <bgColor theme="6"/>
        </patternFill>
      </fill>
    </dxf>
    <dxf>
      <fill>
        <patternFill>
          <bgColor theme="9"/>
        </patternFill>
      </fill>
    </dxf>
    <dxf>
      <alignment horizontal="left" textRotation="0" wrapText="0" indent="0" justifyLastLine="0" shrinkToFit="0" readingOrder="0"/>
    </dxf>
    <dxf>
      <numFmt numFmtId="30" formatCode="@"/>
    </dxf>
    <dxf>
      <numFmt numFmtId="164" formatCode="&quot;€&quot;\ #,##0.00"/>
    </dxf>
    <dxf>
      <font>
        <b/>
      </font>
    </dxf>
    <dxf>
      <numFmt numFmtId="164" formatCode="&quot;€&quot;\ #,##0.00"/>
    </dxf>
    <dxf>
      <numFmt numFmtId="164" formatCode="&quot;€&quot;\ #,##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png"/><Relationship Id="rId7" Type="http://schemas.openxmlformats.org/officeDocument/2006/relationships/image" Target="../media/image7.jpe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jpeg"/><Relationship Id="rId4" Type="http://schemas.openxmlformats.org/officeDocument/2006/relationships/image" Target="../media/image4.pn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twoCellAnchor editAs="oneCell">
    <xdr:from>
      <xdr:col>1</xdr:col>
      <xdr:colOff>9526</xdr:colOff>
      <xdr:row>1</xdr:row>
      <xdr:rowOff>38100</xdr:rowOff>
    </xdr:from>
    <xdr:to>
      <xdr:col>1</xdr:col>
      <xdr:colOff>1971676</xdr:colOff>
      <xdr:row>1</xdr:row>
      <xdr:rowOff>1329584</xdr:rowOff>
    </xdr:to>
    <xdr:pic>
      <xdr:nvPicPr>
        <xdr:cNvPr id="2" name="Afbeelding 1">
          <a:extLst>
            <a:ext uri="{FF2B5EF4-FFF2-40B4-BE49-F238E27FC236}">
              <a16:creationId xmlns:a16="http://schemas.microsoft.com/office/drawing/2014/main" id="{66D3C014-7669-4354-B42D-9932AC46AA74}"/>
            </a:ext>
          </a:extLst>
        </xdr:cNvPr>
        <xdr:cNvPicPr>
          <a:picLocks noChangeAspect="1"/>
        </xdr:cNvPicPr>
      </xdr:nvPicPr>
      <xdr:blipFill>
        <a:blip xmlns:r="http://schemas.openxmlformats.org/officeDocument/2006/relationships" r:embed="rId1"/>
        <a:stretch>
          <a:fillRect/>
        </a:stretch>
      </xdr:blipFill>
      <xdr:spPr>
        <a:xfrm>
          <a:off x="1466851" y="371475"/>
          <a:ext cx="1962150" cy="1291484"/>
        </a:xfrm>
        <a:prstGeom prst="rect">
          <a:avLst/>
        </a:prstGeom>
      </xdr:spPr>
    </xdr:pic>
    <xdr:clientData/>
  </xdr:twoCellAnchor>
  <xdr:twoCellAnchor editAs="oneCell">
    <xdr:from>
      <xdr:col>1</xdr:col>
      <xdr:colOff>9525</xdr:colOff>
      <xdr:row>6</xdr:row>
      <xdr:rowOff>9525</xdr:rowOff>
    </xdr:from>
    <xdr:to>
      <xdr:col>1</xdr:col>
      <xdr:colOff>2238375</xdr:colOff>
      <xdr:row>7</xdr:row>
      <xdr:rowOff>3940</xdr:rowOff>
    </xdr:to>
    <xdr:pic>
      <xdr:nvPicPr>
        <xdr:cNvPr id="3" name="Afbeelding 2">
          <a:extLst>
            <a:ext uri="{FF2B5EF4-FFF2-40B4-BE49-F238E27FC236}">
              <a16:creationId xmlns:a16="http://schemas.microsoft.com/office/drawing/2014/main" id="{E112E956-15BE-406E-80F2-331345E38764}"/>
            </a:ext>
          </a:extLst>
        </xdr:cNvPr>
        <xdr:cNvPicPr>
          <a:picLocks noChangeAspect="1"/>
        </xdr:cNvPicPr>
      </xdr:nvPicPr>
      <xdr:blipFill>
        <a:blip xmlns:r="http://schemas.openxmlformats.org/officeDocument/2006/relationships" r:embed="rId2"/>
        <a:stretch>
          <a:fillRect/>
        </a:stretch>
      </xdr:blipFill>
      <xdr:spPr>
        <a:xfrm>
          <a:off x="1466850" y="4324350"/>
          <a:ext cx="2228850" cy="1213615"/>
        </a:xfrm>
        <a:prstGeom prst="rect">
          <a:avLst/>
        </a:prstGeom>
      </xdr:spPr>
    </xdr:pic>
    <xdr:clientData/>
  </xdr:twoCellAnchor>
  <xdr:twoCellAnchor editAs="oneCell">
    <xdr:from>
      <xdr:col>1</xdr:col>
      <xdr:colOff>42832</xdr:colOff>
      <xdr:row>10</xdr:row>
      <xdr:rowOff>0</xdr:rowOff>
    </xdr:from>
    <xdr:to>
      <xdr:col>1</xdr:col>
      <xdr:colOff>2162173</xdr:colOff>
      <xdr:row>10</xdr:row>
      <xdr:rowOff>1138208</xdr:rowOff>
    </xdr:to>
    <xdr:pic>
      <xdr:nvPicPr>
        <xdr:cNvPr id="4" name="Afbeelding 3">
          <a:extLst>
            <a:ext uri="{FF2B5EF4-FFF2-40B4-BE49-F238E27FC236}">
              <a16:creationId xmlns:a16="http://schemas.microsoft.com/office/drawing/2014/main" id="{C559389A-6855-4700-BBFF-8407229C9D0B}"/>
            </a:ext>
          </a:extLst>
        </xdr:cNvPr>
        <xdr:cNvPicPr>
          <a:picLocks noChangeAspect="1"/>
        </xdr:cNvPicPr>
      </xdr:nvPicPr>
      <xdr:blipFill>
        <a:blip xmlns:r="http://schemas.openxmlformats.org/officeDocument/2006/relationships" r:embed="rId3"/>
        <a:stretch>
          <a:fillRect/>
        </a:stretch>
      </xdr:blipFill>
      <xdr:spPr>
        <a:xfrm rot="5400000">
          <a:off x="1990724" y="5105402"/>
          <a:ext cx="1138208" cy="2119341"/>
        </a:xfrm>
        <a:prstGeom prst="rect">
          <a:avLst/>
        </a:prstGeom>
      </xdr:spPr>
    </xdr:pic>
    <xdr:clientData/>
  </xdr:twoCellAnchor>
  <xdr:twoCellAnchor editAs="oneCell">
    <xdr:from>
      <xdr:col>1</xdr:col>
      <xdr:colOff>90421</xdr:colOff>
      <xdr:row>10</xdr:row>
      <xdr:rowOff>85726</xdr:rowOff>
    </xdr:from>
    <xdr:to>
      <xdr:col>1</xdr:col>
      <xdr:colOff>2028829</xdr:colOff>
      <xdr:row>10</xdr:row>
      <xdr:rowOff>1619152</xdr:rowOff>
    </xdr:to>
    <xdr:pic>
      <xdr:nvPicPr>
        <xdr:cNvPr id="7" name="Afbeelding 6">
          <a:extLst>
            <a:ext uri="{FF2B5EF4-FFF2-40B4-BE49-F238E27FC236}">
              <a16:creationId xmlns:a16="http://schemas.microsoft.com/office/drawing/2014/main" id="{65ADC207-530E-47A4-B402-A0B1F79B3716}"/>
            </a:ext>
          </a:extLst>
        </xdr:cNvPr>
        <xdr:cNvPicPr>
          <a:picLocks noChangeAspect="1"/>
        </xdr:cNvPicPr>
      </xdr:nvPicPr>
      <xdr:blipFill>
        <a:blip xmlns:r="http://schemas.openxmlformats.org/officeDocument/2006/relationships" r:embed="rId4"/>
        <a:stretch>
          <a:fillRect/>
        </a:stretch>
      </xdr:blipFill>
      <xdr:spPr>
        <a:xfrm rot="16200000">
          <a:off x="1750237" y="6665035"/>
          <a:ext cx="1533426" cy="1938408"/>
        </a:xfrm>
        <a:prstGeom prst="rect">
          <a:avLst/>
        </a:prstGeom>
      </xdr:spPr>
    </xdr:pic>
    <xdr:clientData/>
  </xdr:twoCellAnchor>
  <xdr:twoCellAnchor editAs="oneCell">
    <xdr:from>
      <xdr:col>1</xdr:col>
      <xdr:colOff>54429</xdr:colOff>
      <xdr:row>4</xdr:row>
      <xdr:rowOff>27215</xdr:rowOff>
    </xdr:from>
    <xdr:to>
      <xdr:col>2</xdr:col>
      <xdr:colOff>1019</xdr:colOff>
      <xdr:row>4</xdr:row>
      <xdr:rowOff>1858750</xdr:rowOff>
    </xdr:to>
    <xdr:pic>
      <xdr:nvPicPr>
        <xdr:cNvPr id="5" name="Afbeelding 4">
          <a:extLst>
            <a:ext uri="{FF2B5EF4-FFF2-40B4-BE49-F238E27FC236}">
              <a16:creationId xmlns:a16="http://schemas.microsoft.com/office/drawing/2014/main" id="{C52BC334-4619-495B-967D-50CF16B2C789}"/>
            </a:ext>
          </a:extLst>
        </xdr:cNvPr>
        <xdr:cNvPicPr>
          <a:picLocks noChangeAspect="1"/>
        </xdr:cNvPicPr>
      </xdr:nvPicPr>
      <xdr:blipFill>
        <a:blip xmlns:r="http://schemas.openxmlformats.org/officeDocument/2006/relationships" r:embed="rId5"/>
        <a:stretch>
          <a:fillRect/>
        </a:stretch>
      </xdr:blipFill>
      <xdr:spPr>
        <a:xfrm>
          <a:off x="1510393" y="3973286"/>
          <a:ext cx="2204357" cy="1831535"/>
        </a:xfrm>
        <a:prstGeom prst="rect">
          <a:avLst/>
        </a:prstGeom>
      </xdr:spPr>
    </xdr:pic>
    <xdr:clientData/>
  </xdr:twoCellAnchor>
  <xdr:twoCellAnchor editAs="oneCell">
    <xdr:from>
      <xdr:col>1</xdr:col>
      <xdr:colOff>13608</xdr:colOff>
      <xdr:row>5</xdr:row>
      <xdr:rowOff>312965</xdr:rowOff>
    </xdr:from>
    <xdr:to>
      <xdr:col>1</xdr:col>
      <xdr:colOff>2190750</xdr:colOff>
      <xdr:row>5</xdr:row>
      <xdr:rowOff>1524000</xdr:rowOff>
    </xdr:to>
    <xdr:pic>
      <xdr:nvPicPr>
        <xdr:cNvPr id="6" name="Afbeelding 5">
          <a:extLst>
            <a:ext uri="{FF2B5EF4-FFF2-40B4-BE49-F238E27FC236}">
              <a16:creationId xmlns:a16="http://schemas.microsoft.com/office/drawing/2014/main" id="{9C835B6A-9AA8-46E2-8110-CFF19757F56B}"/>
            </a:ext>
          </a:extLst>
        </xdr:cNvPr>
        <xdr:cNvPicPr>
          <a:picLocks noChangeAspect="1"/>
        </xdr:cNvPicPr>
      </xdr:nvPicPr>
      <xdr:blipFill>
        <a:blip xmlns:r="http://schemas.openxmlformats.org/officeDocument/2006/relationships" r:embed="rId6"/>
        <a:stretch>
          <a:fillRect/>
        </a:stretch>
      </xdr:blipFill>
      <xdr:spPr>
        <a:xfrm>
          <a:off x="1469572" y="6150429"/>
          <a:ext cx="2177142" cy="1211035"/>
        </a:xfrm>
        <a:prstGeom prst="rect">
          <a:avLst/>
        </a:prstGeom>
      </xdr:spPr>
    </xdr:pic>
    <xdr:clientData/>
  </xdr:twoCellAnchor>
  <xdr:twoCellAnchor editAs="oneCell">
    <xdr:from>
      <xdr:col>1</xdr:col>
      <xdr:colOff>100852</xdr:colOff>
      <xdr:row>3</xdr:row>
      <xdr:rowOff>33616</xdr:rowOff>
    </xdr:from>
    <xdr:to>
      <xdr:col>1</xdr:col>
      <xdr:colOff>2185147</xdr:colOff>
      <xdr:row>3</xdr:row>
      <xdr:rowOff>1207682</xdr:rowOff>
    </xdr:to>
    <xdr:pic>
      <xdr:nvPicPr>
        <xdr:cNvPr id="8" name="Afbeelding 7" descr="KVIM3-x-002">
          <a:extLst>
            <a:ext uri="{FF2B5EF4-FFF2-40B4-BE49-F238E27FC236}">
              <a16:creationId xmlns:a16="http://schemas.microsoft.com/office/drawing/2014/main" id="{DB938A7A-B27E-49CD-AA6D-3C7BF3DFEE3E}"/>
            </a:ext>
          </a:extLst>
        </xdr:cNvPr>
        <xdr:cNvPicPr>
          <a:picLocks noChangeAspect="1" noChangeArrowheads="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17682" b="20732"/>
        <a:stretch/>
      </xdr:blipFill>
      <xdr:spPr bwMode="auto">
        <a:xfrm>
          <a:off x="2330823" y="2947145"/>
          <a:ext cx="2084295" cy="117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302559</xdr:colOff>
      <xdr:row>7</xdr:row>
      <xdr:rowOff>134471</xdr:rowOff>
    </xdr:from>
    <xdr:to>
      <xdr:col>1</xdr:col>
      <xdr:colOff>1848971</xdr:colOff>
      <xdr:row>7</xdr:row>
      <xdr:rowOff>1127793</xdr:rowOff>
    </xdr:to>
    <xdr:pic>
      <xdr:nvPicPr>
        <xdr:cNvPr id="9" name="Afbeelding 8">
          <a:extLst>
            <a:ext uri="{FF2B5EF4-FFF2-40B4-BE49-F238E27FC236}">
              <a16:creationId xmlns:a16="http://schemas.microsoft.com/office/drawing/2014/main" id="{8F374511-A2B8-4939-9405-129F4E035286}"/>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2745441" y="9087971"/>
          <a:ext cx="1546412" cy="993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381000</xdr:colOff>
      <xdr:row>8</xdr:row>
      <xdr:rowOff>67235</xdr:rowOff>
    </xdr:from>
    <xdr:to>
      <xdr:col>1</xdr:col>
      <xdr:colOff>1828800</xdr:colOff>
      <xdr:row>8</xdr:row>
      <xdr:rowOff>1191185</xdr:rowOff>
    </xdr:to>
    <xdr:pic>
      <xdr:nvPicPr>
        <xdr:cNvPr id="10" name="Afbeelding 9" descr="Modulaire stekker CAT5e Afgeschermde, 100 stuks LOGILINK MP0003">
          <a:extLst>
            <a:ext uri="{FF2B5EF4-FFF2-40B4-BE49-F238E27FC236}">
              <a16:creationId xmlns:a16="http://schemas.microsoft.com/office/drawing/2014/main" id="{581CA966-3FD9-4D7E-B4CB-024C09848323}"/>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2823882" y="10242176"/>
          <a:ext cx="1447800" cy="1123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242454</xdr:colOff>
      <xdr:row>9</xdr:row>
      <xdr:rowOff>69021</xdr:rowOff>
    </xdr:from>
    <xdr:to>
      <xdr:col>1</xdr:col>
      <xdr:colOff>1991590</xdr:colOff>
      <xdr:row>9</xdr:row>
      <xdr:rowOff>1154133</xdr:rowOff>
    </xdr:to>
    <xdr:pic>
      <xdr:nvPicPr>
        <xdr:cNvPr id="11" name="Afbeelding 10" descr="TP-Link TL-SF1008D switch Retail">
          <a:extLst>
            <a:ext uri="{FF2B5EF4-FFF2-40B4-BE49-F238E27FC236}">
              <a16:creationId xmlns:a16="http://schemas.microsoft.com/office/drawing/2014/main" id="{07AE2EF8-E94E-4511-B432-F928BD84C0B4}"/>
            </a:ext>
          </a:extLst>
        </xdr:cNvPr>
        <xdr:cNvPicPr>
          <a:picLocks noChangeAspect="1" noChangeArrowheads="1"/>
        </xdr:cNvPicPr>
      </xdr:nvPicPr>
      <xdr:blipFill rotWithShape="1">
        <a:blip xmlns:r="http://schemas.openxmlformats.org/officeDocument/2006/relationships" r:embed="rId10" cstate="print">
          <a:extLst>
            <a:ext uri="{28A0092B-C50C-407E-A947-70E740481C1C}">
              <a14:useLocalDpi xmlns:a14="http://schemas.microsoft.com/office/drawing/2010/main" val="0"/>
            </a:ext>
          </a:extLst>
        </a:blip>
        <a:srcRect t="13909" b="23966"/>
        <a:stretch/>
      </xdr:blipFill>
      <xdr:spPr bwMode="auto">
        <a:xfrm>
          <a:off x="2684318" y="11429748"/>
          <a:ext cx="1749136" cy="1085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3BBA577-549A-4BAA-A121-FF893E4FC8FC}" name="Tabel1" displayName="Tabel1" ref="A1:J10" totalsRowShown="0">
  <autoFilter ref="A1:J10" xr:uid="{43BBA577-549A-4BAA-A121-FF893E4FC8FC}"/>
  <tableColumns count="10">
    <tableColumn id="1" xr3:uid="{5284B5B2-0CA7-463C-8624-5D965981C2FD}" name="Product" dataDxfId="12"/>
    <tableColumn id="10" xr3:uid="{4E0F0235-5BDB-4B77-AAE5-67F30DD178C2}" name="Afbeelding"/>
    <tableColumn id="2" xr3:uid="{B7020C53-AB22-4DF3-9D3D-D8D0D26043C6}" name="Winkel"/>
    <tableColumn id="3" xr3:uid="{78DC4D43-2BD9-4385-A67D-1B0E718DBD26}" name="Link"/>
    <tableColumn id="4" xr3:uid="{FC869D40-D8D8-402C-83A8-D11F56F344BF}" name="Aantal"/>
    <tableColumn id="5" xr3:uid="{174C0AF9-53BB-49B7-8283-E119C1EE8C6D}" name="Prijs per stuk excl. Btw." dataDxfId="14"/>
    <tableColumn id="11" xr3:uid="{B8FCC8E6-AE9C-45F3-BBE8-20E2C28B55D3}" name="Verzendkosten" dataDxfId="13"/>
    <tableColumn id="6" xr3:uid="{16EB43D6-81B2-4E29-B5CE-8D0F42C13CAA}" name="Totaal bedrag (btw + verzend kosten)" dataDxfId="11">
      <calculatedColumnFormula>E2*F2 + G2</calculatedColumnFormula>
    </tableColumn>
    <tableColumn id="7" xr3:uid="{A7CD0D0F-6530-4721-8633-A72254C7C8A1}" name="Beschrijving" dataDxfId="9"/>
    <tableColumn id="8" xr3:uid="{17EC1937-D0DA-4A1F-948B-1A5BEF8BDB40}" name="Kolom1" dataDxfId="10"/>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alternate.nl/TP-Link/TL-SF1008D-switch/html/product/49400" TargetMode="External"/><Relationship Id="rId3" Type="http://schemas.openxmlformats.org/officeDocument/2006/relationships/hyperlink" Target="https://www.toprc.nl/xt60pw-goudstekker-vrouw-4stuks.html?gclid=Cj0KCQiA09eQBhCxARIsAAYRiylObTD9u6nsNIQu6X2b9VJNhhhIvwpZoHfX0KcA3sbakyhpP9WOrRoaAtt5EALw_wcB" TargetMode="External"/><Relationship Id="rId7" Type="http://schemas.openxmlformats.org/officeDocument/2006/relationships/hyperlink" Target="https://www.reichelt.nl/nl/nl/modulaire-stekker-cat5e-afgeschermde-100-stuks-logilink-mp0003-p121561.html?PROVID=2809&amp;gclid=Cj0KCQiA09eQBhCxARIsAAYRiyk0LAasRq2jmw8kDlB2Vtoy_PT1drj_liMioU5IYK_0NwNuMz2YY2UaAjSZEALw_wcB" TargetMode="External"/><Relationship Id="rId2" Type="http://schemas.openxmlformats.org/officeDocument/2006/relationships/hyperlink" Target="https://www.amazon.nl/dp/B08BCRZZS3/ref=cm_sw_em_r_mt_dp_0J3YJ2WVY1044GEJ40B9?_encoding=UTF8&amp;psc=1" TargetMode="External"/><Relationship Id="rId1" Type="http://schemas.openxmlformats.org/officeDocument/2006/relationships/hyperlink" Target="https://www.conrad.nl/p/stmicroelectronics-nucleo-f411re-developmentboard-stm32-f4-series-1416928?WT.mc_id=gshop&amp;utm_source=google&amp;utm_medium=surfaces&amp;utm_term=1416928&amp;utm_content=free-google-shopping-clicks&amp;utm_campaign=shopping-feed&amp;gclid=Cj0KCQiAjJOQBhCkARIsAEKMtO37NK3yRgaSxBjUJXdPCozc5NgzvTALIPzX6ALzCLA5EQcx98VuQXIaAimoEALw_wcB&amp;gclsrc=aw.ds&amp;tid=14577896136_127479790272_pla-302202374812_pla-1416928&amp;WT.srch=1&amp;vat=true&amp;insert_kz=8J" TargetMode="External"/><Relationship Id="rId6" Type="http://schemas.openxmlformats.org/officeDocument/2006/relationships/hyperlink" Target="https://jlcpcb.com/" TargetMode="External"/><Relationship Id="rId11" Type="http://schemas.openxmlformats.org/officeDocument/2006/relationships/table" Target="../tables/table1.xml"/><Relationship Id="rId5" Type="http://schemas.openxmlformats.org/officeDocument/2006/relationships/hyperlink" Target="https://www.amazon.nl/Filament-TINMORRY-Printing-Materials-Printer/dp/B083Y5G2GJ/ref=sr_1_3_sspa?keywords=1kg+filament&amp;qid=1645617663&amp;sprefix=1kg+fil%2Caps%2C117&amp;sr=8-3-spons&amp;psc=1&amp;spLa=ZW5jcnlwdGVkUXVhbGlmaWVyPUExRjJDTjFBOTFUOTcwJmVuY3J5cHRlZElkPUEwMTA0Mjk0MU45R09RWjY3TElZOSZlbmNyeXB0ZWRBZElkPUEwMDMxOTEyNlJPSFk4MkpSVjcwJndpZGdldE5hbWU9c3BfYXRmJmFjdGlvbj1jbGlja1JlZGlyZWN0JmRvTm90TG9nQ2xpY2s9dHJ1ZQ==" TargetMode="External"/><Relationship Id="rId10" Type="http://schemas.openxmlformats.org/officeDocument/2006/relationships/drawing" Target="../drawings/drawing1.xml"/><Relationship Id="rId4" Type="http://schemas.openxmlformats.org/officeDocument/2006/relationships/hyperlink" Target="https://www.amazon.nl/siliconen-elektrische-aansluiten-koperdraad-temperatuurbestendigheid/dp/B07TT3KP8S/ref=sr_1_7?__mk_nl_NL=%C3%85M%C3%85%C5%BD%C3%95%C3%91&amp;crid=36REYM4BMEYX6&amp;keywords=14+awg+draad&amp;qid=1645616948&amp;sprefix=14awg+draad%2Caps%2C74&amp;sr=8-7" TargetMode="External"/><Relationship Id="rId9"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1"/>
  <sheetViews>
    <sheetView tabSelected="1" topLeftCell="B1" zoomScale="85" zoomScaleNormal="85" workbookViewId="0">
      <selection activeCell="M4" sqref="M4"/>
    </sheetView>
  </sheetViews>
  <sheetFormatPr defaultRowHeight="15" x14ac:dyDescent="0.25"/>
  <cols>
    <col min="1" max="1" width="54" customWidth="1"/>
    <col min="2" max="2" width="33.85546875" customWidth="1"/>
    <col min="3" max="3" width="14.140625" customWidth="1"/>
    <col min="4" max="4" width="31.85546875" customWidth="1"/>
    <col min="5" max="5" width="15.7109375" customWidth="1"/>
    <col min="6" max="6" width="25.28515625" style="2" customWidth="1"/>
    <col min="7" max="7" width="27.140625" style="2" customWidth="1"/>
    <col min="8" max="8" width="49.28515625" customWidth="1"/>
    <col min="9" max="9" width="179.42578125" customWidth="1"/>
    <col min="10" max="10" width="22.140625" customWidth="1"/>
    <col min="11" max="11" width="22.85546875" style="8" customWidth="1"/>
    <col min="12" max="12" width="49.85546875" customWidth="1"/>
    <col min="13" max="13" width="29.28515625" customWidth="1"/>
    <col min="14" max="14" width="13.42578125" bestFit="1" customWidth="1"/>
  </cols>
  <sheetData>
    <row r="1" spans="1:13" ht="26.25" x14ac:dyDescent="0.4">
      <c r="A1" t="s">
        <v>0</v>
      </c>
      <c r="B1" t="s">
        <v>12</v>
      </c>
      <c r="C1" t="s">
        <v>1</v>
      </c>
      <c r="D1" t="s">
        <v>3</v>
      </c>
      <c r="E1" t="s">
        <v>2</v>
      </c>
      <c r="F1" s="2" t="s">
        <v>14</v>
      </c>
      <c r="G1" s="2" t="s">
        <v>13</v>
      </c>
      <c r="H1" t="s">
        <v>15</v>
      </c>
      <c r="I1" t="s">
        <v>8</v>
      </c>
      <c r="J1" s="8" t="s">
        <v>37</v>
      </c>
      <c r="K1"/>
      <c r="L1" s="7" t="s">
        <v>9</v>
      </c>
      <c r="M1" s="3"/>
    </row>
    <row r="2" spans="1:13" ht="107.25" customHeight="1" x14ac:dyDescent="0.25">
      <c r="A2" s="11" t="s">
        <v>4</v>
      </c>
      <c r="C2" t="s">
        <v>5</v>
      </c>
      <c r="D2" s="1" t="s">
        <v>6</v>
      </c>
      <c r="E2">
        <v>1</v>
      </c>
      <c r="F2" s="2">
        <v>24.99</v>
      </c>
      <c r="G2" s="2">
        <v>6.95</v>
      </c>
      <c r="H2" s="2">
        <f>E2*F2 + G2</f>
        <v>31.939999999999998</v>
      </c>
      <c r="I2" s="12" t="s">
        <v>11</v>
      </c>
      <c r="J2" s="8"/>
      <c r="K2"/>
      <c r="L2" s="6" t="s">
        <v>10</v>
      </c>
      <c r="M2" s="4">
        <f>SUM(H:H)</f>
        <v>1467.2000000000003</v>
      </c>
    </row>
    <row r="3" spans="1:13" ht="95.25" customHeight="1" x14ac:dyDescent="0.25">
      <c r="A3" s="11" t="s">
        <v>26</v>
      </c>
      <c r="C3" t="s">
        <v>7</v>
      </c>
      <c r="D3" s="1" t="s">
        <v>7</v>
      </c>
      <c r="E3">
        <v>4</v>
      </c>
      <c r="F3" s="2">
        <v>200</v>
      </c>
      <c r="G3" s="2">
        <v>50</v>
      </c>
      <c r="H3" s="2">
        <f t="shared" ref="H3:H6" si="0">E3*F3 + G3</f>
        <v>850</v>
      </c>
      <c r="I3" s="12" t="s">
        <v>39</v>
      </c>
      <c r="J3" s="8"/>
      <c r="K3"/>
      <c r="L3" s="15" t="s">
        <v>49</v>
      </c>
      <c r="M3" s="5">
        <v>0.36</v>
      </c>
    </row>
    <row r="4" spans="1:13" ht="95.25" customHeight="1" x14ac:dyDescent="0.25">
      <c r="A4" s="11" t="s">
        <v>30</v>
      </c>
      <c r="C4" t="s">
        <v>29</v>
      </c>
      <c r="D4" s="1" t="s">
        <v>29</v>
      </c>
      <c r="E4">
        <v>1</v>
      </c>
      <c r="F4" s="2">
        <v>400</v>
      </c>
      <c r="G4" s="2">
        <v>10</v>
      </c>
      <c r="H4" s="2">
        <f>E4*F4 + G4</f>
        <v>410</v>
      </c>
      <c r="I4" s="12" t="s">
        <v>32</v>
      </c>
      <c r="J4" s="8"/>
      <c r="K4"/>
      <c r="L4" s="6" t="s">
        <v>38</v>
      </c>
      <c r="M4" s="14">
        <f>M2+M2*M3</f>
        <v>1995.3920000000003</v>
      </c>
    </row>
    <row r="5" spans="1:13" ht="149.25" customHeight="1" x14ac:dyDescent="0.25">
      <c r="A5" s="11" t="s">
        <v>16</v>
      </c>
      <c r="C5" t="s">
        <v>17</v>
      </c>
      <c r="D5" s="1" t="s">
        <v>18</v>
      </c>
      <c r="E5">
        <v>1</v>
      </c>
      <c r="F5" s="2">
        <v>10.99</v>
      </c>
      <c r="H5" s="2">
        <f t="shared" si="0"/>
        <v>10.99</v>
      </c>
      <c r="I5" s="10" t="s">
        <v>45</v>
      </c>
      <c r="J5" s="8"/>
      <c r="K5"/>
    </row>
    <row r="6" spans="1:13" ht="135" customHeight="1" x14ac:dyDescent="0.25">
      <c r="A6" s="11" t="s">
        <v>21</v>
      </c>
      <c r="C6" t="s">
        <v>20</v>
      </c>
      <c r="D6" s="1" t="s">
        <v>19</v>
      </c>
      <c r="E6">
        <v>2</v>
      </c>
      <c r="F6" s="2">
        <v>4.75</v>
      </c>
      <c r="G6" s="2">
        <v>3.95</v>
      </c>
      <c r="H6" s="2">
        <f t="shared" si="0"/>
        <v>13.45</v>
      </c>
      <c r="I6" s="12" t="s">
        <v>27</v>
      </c>
      <c r="J6" s="8"/>
      <c r="K6"/>
    </row>
    <row r="7" spans="1:13" ht="96" customHeight="1" x14ac:dyDescent="0.25">
      <c r="A7" s="11" t="s">
        <v>22</v>
      </c>
      <c r="C7" t="s">
        <v>17</v>
      </c>
      <c r="D7" s="1" t="s">
        <v>23</v>
      </c>
      <c r="E7">
        <v>1</v>
      </c>
      <c r="F7" s="2">
        <v>16.68</v>
      </c>
      <c r="G7" s="2">
        <v>6.95</v>
      </c>
      <c r="H7" s="2">
        <f>E7*F7 + G7</f>
        <v>23.63</v>
      </c>
      <c r="I7" s="12" t="s">
        <v>28</v>
      </c>
      <c r="J7" s="8"/>
      <c r="K7"/>
    </row>
    <row r="8" spans="1:13" ht="96" customHeight="1" x14ac:dyDescent="0.25">
      <c r="A8" s="11" t="s">
        <v>31</v>
      </c>
      <c r="C8" t="s">
        <v>40</v>
      </c>
      <c r="D8" s="1" t="s">
        <v>35</v>
      </c>
      <c r="E8">
        <v>25</v>
      </c>
      <c r="F8" s="2">
        <v>0.89</v>
      </c>
      <c r="G8" s="2">
        <v>3.95</v>
      </c>
      <c r="H8" s="2">
        <f>E8*F8 + G8</f>
        <v>26.2</v>
      </c>
      <c r="I8" s="12" t="s">
        <v>34</v>
      </c>
      <c r="J8" s="8"/>
      <c r="K8"/>
    </row>
    <row r="9" spans="1:13" ht="96" customHeight="1" x14ac:dyDescent="0.25">
      <c r="A9" s="11" t="s">
        <v>33</v>
      </c>
      <c r="C9" t="s">
        <v>41</v>
      </c>
      <c r="D9" s="1" t="s">
        <v>36</v>
      </c>
      <c r="E9">
        <v>100</v>
      </c>
      <c r="F9" s="2">
        <v>0.1215</v>
      </c>
      <c r="G9" s="2">
        <v>6.95</v>
      </c>
      <c r="H9" s="2">
        <f>E9*F9 + G9</f>
        <v>19.100000000000001</v>
      </c>
      <c r="I9" s="12" t="s">
        <v>46</v>
      </c>
      <c r="J9" s="8"/>
      <c r="K9"/>
    </row>
    <row r="10" spans="1:13" ht="96" customHeight="1" x14ac:dyDescent="0.25">
      <c r="A10" s="11" t="s">
        <v>42</v>
      </c>
      <c r="C10" t="s">
        <v>44</v>
      </c>
      <c r="D10" s="1" t="s">
        <v>43</v>
      </c>
      <c r="E10">
        <v>1</v>
      </c>
      <c r="F10" s="2">
        <v>40</v>
      </c>
      <c r="G10" s="2">
        <v>8.9499999999999993</v>
      </c>
      <c r="H10" s="2">
        <f>E10*F10 + G10</f>
        <v>48.95</v>
      </c>
      <c r="I10" s="12" t="s">
        <v>47</v>
      </c>
      <c r="J10" s="8"/>
      <c r="K10"/>
    </row>
    <row r="11" spans="1:13" ht="128.25" customHeight="1" x14ac:dyDescent="0.25">
      <c r="A11" s="11" t="s">
        <v>24</v>
      </c>
      <c r="C11" t="s">
        <v>17</v>
      </c>
      <c r="D11" s="1" t="s">
        <v>25</v>
      </c>
      <c r="E11">
        <v>1</v>
      </c>
      <c r="F11" s="2">
        <v>25.99</v>
      </c>
      <c r="G11" s="2">
        <v>6.95</v>
      </c>
      <c r="H11" s="2">
        <f>E11*F11 + G11</f>
        <v>32.94</v>
      </c>
      <c r="I11" s="13" t="s">
        <v>48</v>
      </c>
      <c r="J11" s="9"/>
    </row>
  </sheetData>
  <conditionalFormatting sqref="J1:J10 K12:K1048576">
    <cfRule type="cellIs" dxfId="8" priority="11" operator="equal">
      <formula>"Kan worden besteld"</formula>
    </cfRule>
  </conditionalFormatting>
  <conditionalFormatting sqref="J3:J4">
    <cfRule type="cellIs" dxfId="7" priority="9" operator="equal">
      <formula>"Nog niet beschikbaar"</formula>
    </cfRule>
  </conditionalFormatting>
  <conditionalFormatting sqref="J5">
    <cfRule type="cellIs" dxfId="6" priority="7" operator="equal">
      <formula>"Nog niet beschikbaar"</formula>
    </cfRule>
  </conditionalFormatting>
  <conditionalFormatting sqref="J6">
    <cfRule type="cellIs" dxfId="5" priority="6" operator="equal">
      <formula>"Nog niet beschikbaar"</formula>
    </cfRule>
  </conditionalFormatting>
  <conditionalFormatting sqref="K11">
    <cfRule type="cellIs" dxfId="4" priority="5" operator="equal">
      <formula>"Kan worden besteld"</formula>
    </cfRule>
  </conditionalFormatting>
  <conditionalFormatting sqref="J7:J10">
    <cfRule type="cellIs" dxfId="3" priority="4" operator="equal">
      <formula>"Nog niet beschikbaar"</formula>
    </cfRule>
  </conditionalFormatting>
  <conditionalFormatting sqref="J11">
    <cfRule type="cellIs" dxfId="1" priority="2" operator="equal">
      <formula>"Kan worden besteld"</formula>
    </cfRule>
  </conditionalFormatting>
  <conditionalFormatting sqref="J11">
    <cfRule type="cellIs" dxfId="0" priority="1" operator="equal">
      <formula>"Nog niet beschikbaar"</formula>
    </cfRule>
  </conditionalFormatting>
  <hyperlinks>
    <hyperlink ref="D2" r:id="rId1" display="https://www.conrad.nl/p/stmicroelectronics-nucleo-f411re-developmentboard-stm32-f4-series-1416928?WT.mc_id=gshop&amp;utm_source=google&amp;utm_medium=surfaces&amp;utm_term=1416928&amp;utm_content=free-google-shopping-clicks&amp;utm_campaign=shopping-feed&amp;gclid=Cj0KCQiAjJOQBhCkARIsAEKMtO37NK3yRgaSxBjUJXdPCozc5NgzvTALIPzX6ALzCLA5EQcx98VuQXIaAimoEALw_wcB&amp;gclsrc=aw.ds&amp;tid=14577896136_127479790272_pla-302202374812_pla-1416928&amp;WT.srch=1&amp;vat=true&amp;insert_kz=8J" xr:uid="{DF04C681-9A4D-429B-9EB2-D5D687ACD76A}"/>
    <hyperlink ref="D5" r:id="rId2" xr:uid="{380ED063-0838-4300-9F63-1F3A312B2F3D}"/>
    <hyperlink ref="D6" r:id="rId3" xr:uid="{C6633DC3-BD1E-4A05-9DEE-C2888A4CFA78}"/>
    <hyperlink ref="D7" r:id="rId4" xr:uid="{CAC78024-5EBA-4252-AFF8-5D36D81EAB53}"/>
    <hyperlink ref="D11" r:id="rId5" xr:uid="{378BDF46-E3F0-4BF6-AD0F-B1873681039D}"/>
    <hyperlink ref="D3" r:id="rId6" xr:uid="{50D64DA0-6D26-44A9-AA3A-59B483E0B585}"/>
    <hyperlink ref="D9" r:id="rId7" display="RJ45 Connector" xr:uid="{E9EB94E3-10FF-4610-9F41-D52582593786}"/>
    <hyperlink ref="D10" r:id="rId8" location="product-details-tab" display="Switch" xr:uid="{6F4EFA48-5E29-4476-B49C-3E5B3202AF10}"/>
  </hyperlinks>
  <pageMargins left="0.7" right="0.7" top="0.75" bottom="0.75" header="0.3" footer="0.3"/>
  <pageSetup orientation="portrait" r:id="rId9"/>
  <drawing r:id="rId10"/>
  <tableParts count="1">
    <tablePart r:id="rId1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Steven Slaa</dc:creator>
  <cp:lastModifiedBy>Steven Slaa</cp:lastModifiedBy>
  <dcterms:created xsi:type="dcterms:W3CDTF">2015-06-05T18:17:20Z</dcterms:created>
  <dcterms:modified xsi:type="dcterms:W3CDTF">2022-03-07T15:23:12Z</dcterms:modified>
</cp:coreProperties>
</file>